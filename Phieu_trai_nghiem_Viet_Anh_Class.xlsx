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DS" sheetId="1" state="hidden" r:id="rId1"/>
    <sheet xmlns:r="http://schemas.openxmlformats.org/officeDocument/2006/relationships" name="ĐỌC TRƯỚC" sheetId="2" state="visible" r:id="rId2"/>
    <sheet xmlns:r="http://schemas.openxmlformats.org/officeDocument/2006/relationships" name="APP LÀ GÌ" sheetId="3" state="visible" r:id="rId3"/>
    <sheet xmlns:r="http://schemas.openxmlformats.org/officeDocument/2006/relationships" name="N1 · Giáo viên" sheetId="4" state="visible" r:id="rId4"/>
    <sheet xmlns:r="http://schemas.openxmlformats.org/officeDocument/2006/relationships" name="N2 · Ban giám hiệu" sheetId="5" state="visible" r:id="rId5"/>
    <sheet xmlns:r="http://schemas.openxmlformats.org/officeDocument/2006/relationships" name="N3 · Quản trị viên" sheetId="6" state="visible" r:id="rId6"/>
    <sheet xmlns:r="http://schemas.openxmlformats.org/officeDocument/2006/relationships" name="PHỐI HỢP" sheetId="7" state="visible" r:id="rId7"/>
    <sheet xmlns:r="http://schemas.openxmlformats.org/officeDocument/2006/relationships" name="SỔ LỖI" sheetId="8" state="visible" r:id="rId8"/>
    <sheet xmlns:r="http://schemas.openxmlformats.org/officeDocument/2006/relationships" name="TỔNG HỢP"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6"/>
    </font>
    <font>
      <name val="Calibri"/>
      <color rgb="00FFFFFF"/>
      <sz val="10"/>
    </font>
    <font>
      <name val="Calibri"/>
      <b val="1"/>
      <color rgb="00FFFFFF"/>
      <sz val="12"/>
    </font>
    <font>
      <name val="Calibri"/>
      <sz val="10.5"/>
    </font>
    <font>
      <name val="Calibri"/>
      <b val="1"/>
      <sz val="10.5"/>
    </font>
    <font>
      <name val="Consolas"/>
      <sz val="9.5"/>
    </font>
    <font>
      <name val="Consolas"/>
      <color rgb="0026275D"/>
      <sz val="10"/>
    </font>
    <font>
      <name val="Consolas"/>
      <color rgb="003B3E5C"/>
      <sz val="10"/>
    </font>
    <font>
      <name val="Calibri"/>
      <b val="1"/>
      <color rgb="00C0392B"/>
      <sz val="10.5"/>
    </font>
    <font>
      <name val="Calibri"/>
      <i val="1"/>
      <color rgb="005D6180"/>
      <sz val="9.5"/>
    </font>
    <font>
      <name val="Calibri"/>
      <b val="1"/>
      <color rgb="0026275D"/>
      <sz val="10"/>
    </font>
    <font>
      <name val="Calibri"/>
      <b val="1"/>
      <color rgb="0026275D"/>
      <sz val="11"/>
    </font>
    <font>
      <name val="Consolas"/>
      <color rgb="008288A6"/>
      <sz val="9.5"/>
    </font>
  </fonts>
  <fills count="11">
    <fill>
      <patternFill/>
    </fill>
    <fill>
      <patternFill patternType="gray125"/>
    </fill>
    <fill>
      <patternFill patternType="solid">
        <fgColor rgb="0026275D"/>
      </patternFill>
    </fill>
    <fill>
      <patternFill patternType="solid">
        <fgColor rgb="003A3C7A"/>
      </patternFill>
    </fill>
    <fill>
      <patternFill patternType="solid">
        <fgColor rgb="00F1F2F6"/>
      </patternFill>
    </fill>
    <fill>
      <patternFill patternType="solid">
        <fgColor rgb="00FDECEA"/>
      </patternFill>
    </fill>
    <fill>
      <patternFill patternType="solid">
        <fgColor rgb="00FFF7CC"/>
      </patternFill>
    </fill>
    <fill>
      <patternFill patternType="solid">
        <fgColor rgb="00FFFBE6"/>
      </patternFill>
    </fill>
    <fill>
      <patternFill patternType="solid">
        <fgColor rgb="00FDF3E3"/>
      </patternFill>
    </fill>
    <fill>
      <patternFill patternType="solid">
        <fgColor rgb="00EAF4FF"/>
      </patternFill>
    </fill>
    <fill>
      <patternFill patternType="solid">
        <fgColor rgb="00E8F5EE"/>
      </patternFill>
    </fill>
  </fills>
  <borders count="2">
    <border>
      <left/>
      <right/>
      <top/>
      <bottom/>
      <diagonal/>
    </border>
    <border>
      <left style="thin">
        <color rgb="00C8CBD9"/>
      </left>
      <right style="thin">
        <color rgb="00C8CBD9"/>
      </right>
      <top style="thin">
        <color rgb="00C8CBD9"/>
      </top>
      <bottom style="thin">
        <color rgb="00C8CBD9"/>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vertical="center" indent="1"/>
    </xf>
    <xf numFmtId="0" fontId="4" fillId="0" borderId="0" applyAlignment="1" pivotButton="0" quotePrefix="0" xfId="0">
      <alignment vertical="top" wrapText="1"/>
    </xf>
    <xf numFmtId="0" fontId="5" fillId="4"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8" fillId="0" borderId="0" pivotButton="0" quotePrefix="0" xfId="0"/>
    <xf numFmtId="0" fontId="9" fillId="5" borderId="0" applyAlignment="1" pivotButton="0" quotePrefix="0" xfId="0">
      <alignment vertical="top" wrapText="1"/>
    </xf>
    <xf numFmtId="0" fontId="5" fillId="0" borderId="0" pivotButton="0" quotePrefix="0" xfId="0"/>
    <xf numFmtId="0" fontId="6" fillId="0" borderId="0" pivotButton="0" quotePrefix="0" xfId="0"/>
    <xf numFmtId="0" fontId="10" fillId="0" borderId="0" pivotButton="0" quotePrefix="0" xfId="0"/>
    <xf numFmtId="0" fontId="0" fillId="2" borderId="1" applyAlignment="1" pivotButton="0" quotePrefix="0" xfId="0">
      <alignment horizontal="center" vertical="center" wrapText="1"/>
    </xf>
    <xf numFmtId="0" fontId="3" fillId="3" borderId="0" applyAlignment="1" pivotButton="0" quotePrefix="0" xfId="0">
      <alignment horizontal="center" vertical="center" wrapText="1"/>
    </xf>
    <xf numFmtId="0" fontId="11" fillId="6"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3" fillId="2" borderId="0" applyAlignment="1" pivotButton="0" quotePrefix="0" xfId="0">
      <alignment horizontal="center" vertical="center" wrapText="1"/>
    </xf>
    <xf numFmtId="0" fontId="12" fillId="6" borderId="0" applyAlignment="1" pivotButton="0" quotePrefix="0" xfId="0">
      <alignment vertical="center" indent="1"/>
    </xf>
    <xf numFmtId="0" fontId="0" fillId="7" borderId="1" applyAlignment="1" pivotButton="0" quotePrefix="0" xfId="0">
      <alignment vertical="top" wrapText="1"/>
    </xf>
    <xf numFmtId="0" fontId="0"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9" borderId="1" applyAlignment="1" pivotButton="0" quotePrefix="0" xfId="0">
      <alignment vertical="top" wrapText="1"/>
    </xf>
    <xf numFmtId="0" fontId="5" fillId="9" borderId="1" applyAlignment="1" pivotButton="0" quotePrefix="0" xfId="0">
      <alignment vertical="top" wrapText="1"/>
    </xf>
    <xf numFmtId="0" fontId="5" fillId="4" borderId="1" applyAlignment="1" pivotButton="0" quotePrefix="0" xfId="0">
      <alignment horizontal="center" vertical="center" wrapText="1"/>
    </xf>
    <xf numFmtId="0" fontId="9" fillId="5" borderId="1" applyAlignment="1" pivotButton="0" quotePrefix="0" xfId="0">
      <alignment vertical="top" wrapText="1"/>
    </xf>
    <xf numFmtId="0" fontId="10" fillId="0" borderId="1" applyAlignment="1" pivotButton="0" quotePrefix="0" xfId="0">
      <alignment vertical="top" wrapText="1"/>
    </xf>
    <xf numFmtId="0" fontId="4" fillId="10" borderId="1" applyAlignment="1" pivotButton="0" quotePrefix="0" xfId="0">
      <alignment vertical="top" wrapText="1"/>
    </xf>
    <xf numFmtId="0" fontId="4" fillId="4" borderId="1" applyAlignment="1" pivotButton="0" quotePrefix="0" xfId="0">
      <alignment vertical="top" wrapText="1"/>
    </xf>
    <xf numFmtId="0" fontId="13" fillId="0" borderId="1" applyAlignment="1" pivotButton="0" quotePrefix="0" xfId="0">
      <alignment vertical="top" wrapText="1"/>
    </xf>
    <xf numFmtId="0" fontId="5" fillId="0" borderId="1" applyAlignment="1" pivotButton="0" quotePrefix="0" xfId="0">
      <alignment horizontal="center" vertical="center" wrapText="1"/>
    </xf>
    <xf numFmtId="0" fontId="4" fillId="0" borderId="1" applyAlignment="1" pivotButton="0" quotePrefix="0" xfId="0">
      <alignment vertical="center" wrapText="1"/>
    </xf>
    <xf numFmtId="0" fontId="0" fillId="0" borderId="1" applyAlignment="1" pivotButton="0" quotePrefix="0" xfId="0">
      <alignment vertical="center" wrapText="1"/>
    </xf>
    <xf numFmtId="0" fontId="5" fillId="0" borderId="1" pivotButton="0" quotePrefix="0" xfId="0"/>
    <xf numFmtId="0" fontId="0" fillId="0" borderId="1"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dung</t>
        </is>
      </c>
      <c r="B1" t="inlineStr">
        <is>
          <t>diem</t>
        </is>
      </c>
      <c r="C1" t="inlineStr">
        <is>
          <t>fix</t>
        </is>
      </c>
      <c r="D1" t="inlineStr">
        <is>
          <t>muc</t>
        </is>
      </c>
      <c r="E1" t="inlineStr">
        <is>
          <t>trangthai</t>
        </is>
      </c>
    </row>
    <row r="2">
      <c r="A2" t="inlineStr">
        <is>
          <t>Đúng như mô tả</t>
        </is>
      </c>
      <c r="B2" t="inlineStr">
        <is>
          <t>1</t>
        </is>
      </c>
      <c r="C2" t="inlineStr">
        <is>
          <t>Chưa sửa</t>
        </is>
      </c>
      <c r="D2" t="inlineStr">
        <is>
          <t>Nhẹ — vẫn dùng được</t>
        </is>
      </c>
      <c r="E2" t="inlineStr">
        <is>
          <t>Mới ghi nhận</t>
        </is>
      </c>
    </row>
    <row r="3">
      <c r="A3" t="inlineStr">
        <is>
          <t>Gần đúng, khác một chút</t>
        </is>
      </c>
      <c r="B3" t="inlineStr">
        <is>
          <t>2</t>
        </is>
      </c>
      <c r="C3" t="inlineStr">
        <is>
          <t>Đã sửa</t>
        </is>
      </c>
      <c r="D3" t="inlineStr">
        <is>
          <t>Vừa — khó chịu</t>
        </is>
      </c>
      <c r="E3" t="inlineStr">
        <is>
          <t>Đang sửa</t>
        </is>
      </c>
    </row>
    <row r="4">
      <c r="A4" t="inlineStr">
        <is>
          <t>Khác hẳn mô tả</t>
        </is>
      </c>
      <c r="B4" t="inlineStr">
        <is>
          <t>3</t>
        </is>
      </c>
      <c r="C4" t="inlineStr">
        <is>
          <t>Không cần sửa</t>
        </is>
      </c>
      <c r="D4" t="inlineStr">
        <is>
          <t>Nặng — không làm được việc</t>
        </is>
      </c>
      <c r="E4" t="inlineStr">
        <is>
          <t>Đã sửa — chờ kiểm lại</t>
        </is>
      </c>
    </row>
    <row r="5">
      <c r="A5" t="inlineStr">
        <is>
          <t>Không làm được / bị kẹt</t>
        </is>
      </c>
      <c r="B5" t="inlineStr">
        <is>
          <t>4</t>
        </is>
      </c>
      <c r="C5" t="inlineStr">
        <is>
          <t>Để sau</t>
        </is>
      </c>
      <c r="E5" t="inlineStr">
        <is>
          <t>Đã kiểm lại — xong</t>
        </is>
      </c>
    </row>
    <row r="6">
      <c r="A6" t="inlineStr">
        <is>
          <t>Chưa thử</t>
        </is>
      </c>
      <c r="B6" t="inlineStr">
        <is>
          <t>5</t>
        </is>
      </c>
      <c r="E6" t="inlineStr">
        <is>
          <t>Không sửa (có lý 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3" topLeftCell="A4" activePane="bottomLeft" state="frozen"/>
      <selection pane="bottomLeft" activeCell="A1" sqref="A1"/>
    </sheetView>
  </sheetViews>
  <sheetFormatPr baseColWidth="8" defaultRowHeight="15"/>
  <cols>
    <col width="26" customWidth="1" min="1" max="1"/>
    <col width="44" customWidth="1" min="2" max="2"/>
    <col width="52" customWidth="1" min="3" max="3"/>
    <col width="40" customWidth="1" min="4" max="4"/>
  </cols>
  <sheetData>
    <row r="1" ht="30" customHeight="1">
      <c r="A1" s="1" t="inlineStr">
        <is>
          <t>PHIẾU TRẢI NGHIỆM — Viet Anh Class</t>
        </is>
      </c>
    </row>
    <row r="2" ht="20" customHeight="1">
      <c r="A2" s="2" t="inlineStr">
        <is>
          <t>Cảm ơn bạn đã dành thời gian. Phiếu này dùng lại được cho nhiều vòng thử.</t>
        </is>
      </c>
    </row>
    <row r="4" ht="22" customHeight="1">
      <c r="A4" s="3" t="inlineStr">
        <is>
          <t>VIỆC CỦA BẠN</t>
        </is>
      </c>
    </row>
    <row r="5" ht="34" customHeight="1">
      <c r="A5" s="4" t="inlineStr">
        <is>
          <t>Bạn làm gì</t>
        </is>
      </c>
      <c r="B5" s="4" t="inlineStr">
        <is>
          <t>Bạn đóng vai người dùng thật của app, đi theo từng chặng trong sheet mang tên bạn, rồi ghi lại app có đúng như mô tả không và bạn cảm thấy thế nào.</t>
        </is>
      </c>
      <c r="C5" s="4" t="inlineStr"/>
      <c r="D5" s="4" t="inlineStr"/>
    </row>
    <row r="6">
      <c r="A6" s="4" t="inlineStr">
        <is>
          <t>Mất bao lâu</t>
        </is>
      </c>
      <c r="B6" s="4" t="inlineStr">
        <is>
          <t>Khoảng 60–90 phút cho vòng đầu. Các vòng sau nhanh hơn nhiều vì bạn đã quen.</t>
        </is>
      </c>
      <c r="C6" s="4" t="inlineStr"/>
      <c r="D6" s="4" t="inlineStr"/>
    </row>
    <row r="7">
      <c r="A7" s="4" t="inlineStr">
        <is>
          <t>Địa chỉ app</t>
        </is>
      </c>
      <c r="B7" s="4" t="inlineStr">
        <is>
          <t>https://class.vietanh.org</t>
        </is>
      </c>
      <c r="C7" s="4" t="inlineStr"/>
      <c r="D7" s="4" t="inlineStr"/>
    </row>
    <row r="8">
      <c r="A8" s="4" t="inlineStr">
        <is>
          <t>Mật khẩu</t>
        </is>
      </c>
      <c r="B8" s="4" t="inlineStr">
        <is>
          <t>Bạn KHÔNG cần mật khẩu. Ở trang đăng nhập, kéo xuống khối “Demo” và bấm đúng nút mang tên bạn.</t>
        </is>
      </c>
      <c r="C8" s="4" t="inlineStr"/>
      <c r="D8" s="4" t="inlineStr"/>
    </row>
    <row r="9" ht="34" customHeight="1">
      <c r="A9" s="4" t="inlineStr">
        <is>
          <t>Quan trọng nhất</t>
        </is>
      </c>
      <c r="B9" s="4" t="inlineStr">
        <is>
          <t>Cột GHI CHÚ mới là thứ chúng tôi cần. Các ô chọn nhanh chỉ để thống kê. Đừng ngại viết dài, viết thẳng, chê thoải mái.</t>
        </is>
      </c>
      <c r="C9" s="4" t="inlineStr"/>
      <c r="D9" s="4" t="inlineStr"/>
    </row>
    <row r="11" ht="22" customHeight="1">
      <c r="A11" s="3" t="inlineStr">
        <is>
          <t>CÁCH ĐIỀN — VÀ CÁCH DÙNG LẠI CHO NHIỀU VÒNG</t>
        </is>
      </c>
    </row>
    <row r="12">
      <c r="A12" s="4" t="inlineStr">
        <is>
          <t>Ô tô vàng nhạt</t>
        </is>
      </c>
      <c r="B12" s="4" t="inlineStr">
        <is>
          <t>Là ô bạn cần điền. Ô trắng là phần mô tả sẵn, bạn không phải sửa.</t>
        </is>
      </c>
      <c r="C12" s="4" t="inlineStr"/>
      <c r="D12" s="4" t="inlineStr"/>
    </row>
    <row r="13">
      <c r="A13" s="4" t="inlineStr">
        <is>
          <t>Cột “Đúng như mô tả?”</t>
        </is>
      </c>
      <c r="B13" s="4" t="inlineStr">
        <is>
          <t>Chọn từ danh sách sổ xuống. Nếu app khác mô tả, hãy nói rõ khác chỗ nào ở cột ghi chú.</t>
        </is>
      </c>
      <c r="C13" s="4" t="inlineStr"/>
      <c r="D13" s="4" t="inlineStr"/>
    </row>
    <row r="14">
      <c r="A14" s="4" t="inlineStr">
        <is>
          <t>Cột “Dễ dùng”</t>
        </is>
      </c>
      <c r="B14" s="4" t="inlineStr">
        <is>
          <t>1 = rất khó dùng · 5 = rất dễ. Chấm theo cảm giác thật, không cần cân nhắc nhiều.</t>
        </is>
      </c>
      <c r="C14" s="4" t="inlineStr"/>
      <c r="D14" s="4" t="inlineStr"/>
    </row>
    <row r="15" ht="34" customHeight="1">
      <c r="A15" s="4" t="inlineStr">
        <is>
          <t>VÒNG 1 / 2 / 3</t>
        </is>
      </c>
      <c r="B15" s="4" t="inlineStr">
        <is>
          <t>Mỗi vòng thử có một nhóm cột riêng. Vòng 1 điền trước. Sau khi đội kỹ thuật sửa, bạn quay lại điền cột “Đã sửa?” rồi thử lại và điền vòng 2. Cứ thế cho tới khi hết lỗi.</t>
        </is>
      </c>
      <c r="C15" s="4" t="inlineStr"/>
      <c r="D15" s="4" t="inlineStr"/>
    </row>
    <row r="16" ht="34" customHeight="1">
      <c r="A16" s="4" t="inlineStr">
        <is>
          <t>Cần hơn 3 vòng?</t>
        </is>
      </c>
      <c r="B16" s="4" t="inlineStr">
        <is>
          <t>Bôi đen nhóm cột của Vòng 3 (từ cột “Đã sửa?” tới “Ghi chú”), sao chép và dán sang phải. Sổ lỗi ở sheet SỔ LỖI thì không giới hạn số vòng.</t>
        </is>
      </c>
      <c r="C16" s="4" t="inlineStr"/>
      <c r="D16" s="4" t="inlineStr"/>
    </row>
    <row r="17" ht="34" customHeight="1">
      <c r="A17" s="4" t="inlineStr">
        <is>
          <t>Sheet SỔ LỖI</t>
        </is>
      </c>
      <c r="B17" s="4" t="inlineStr">
        <is>
          <t>Mỗi lỗi bạn gặp ghi MỘT dòng ở đó, rồi theo dõi tới khi nó được sửa xong. Đây là chỗ theo dõi xuyên suốt mọi vòng.</t>
        </is>
      </c>
      <c r="C17" s="4" t="inlineStr"/>
      <c r="D17" s="4" t="inlineStr"/>
    </row>
    <row r="19" ht="22" customHeight="1">
      <c r="A19" s="3" t="inlineStr">
        <is>
          <t>TÀI KHOẢN CỦA TỪNG NGƯỜI</t>
        </is>
      </c>
    </row>
    <row r="20">
      <c r="A20" s="5" t="inlineStr">
        <is>
          <t>Người thử</t>
        </is>
      </c>
      <c r="B20" s="5" t="inlineStr">
        <is>
          <t>Vai — bấm nút demo tương ứng</t>
        </is>
      </c>
      <c r="C20" s="5" t="inlineStr">
        <is>
          <t>Tài khoản</t>
        </is>
      </c>
      <c r="D20" s="5" t="inlineStr">
        <is>
          <t>Gắn với ai / lớp nào</t>
        </is>
      </c>
    </row>
    <row r="21">
      <c r="A21" s="6" t="inlineStr">
        <is>
          <t>N1 · Giáo viên</t>
        </is>
      </c>
      <c r="B21" s="7" t="inlineStr">
        <is>
          <t>Giáo viên chủ nhiệm</t>
        </is>
      </c>
      <c r="C21" s="8" t="inlineStr">
        <is>
          <t>test1.gvcn@truongvietanh.com</t>
        </is>
      </c>
      <c r="D21" s="7" t="inlineStr">
        <is>
          <t>Chủ nhiệm lớp 7B1 · cơ sở Việt Anh Quận 2</t>
        </is>
      </c>
    </row>
    <row r="22">
      <c r="A22" s="6" t="inlineStr"/>
      <c r="B22" s="7" t="inlineStr">
        <is>
          <t>Học sinh (tổ trưởng)</t>
        </is>
      </c>
      <c r="C22" s="8" t="inlineStr">
        <is>
          <t>test1.hs@student.truongvietanh.com</t>
        </is>
      </c>
      <c r="D22" s="7" t="inlineStr">
        <is>
          <t>Học lớp 7B1 · được giao làm tổ trưởng điểm danh</t>
        </is>
      </c>
    </row>
    <row r="23">
      <c r="A23" s="6" t="inlineStr"/>
      <c r="B23" s="7" t="inlineStr">
        <is>
          <t>Phụ huynh</t>
        </is>
      </c>
      <c r="C23" s="8" t="inlineStr">
        <is>
          <t>test1.ph@truongvietanh.com</t>
        </is>
      </c>
      <c r="D23" s="7" t="inlineStr">
        <is>
          <t>Là phụ huynh của chính học sinh ở trên</t>
        </is>
      </c>
    </row>
    <row r="24">
      <c r="A24" s="6" t="inlineStr">
        <is>
          <t>N2 · Ban giám hiệu</t>
        </is>
      </c>
      <c r="B24" s="7" t="inlineStr">
        <is>
          <t>Ban giám hiệu</t>
        </is>
      </c>
      <c r="C24" s="8" t="inlineStr">
        <is>
          <t>test2.bgh@truongvietanh.com</t>
        </is>
      </c>
      <c r="D24" s="7" t="inlineStr">
        <is>
          <t>Phụ trách cơ sở Việt Anh Quận 2</t>
        </is>
      </c>
    </row>
    <row r="25">
      <c r="A25" s="6" t="inlineStr"/>
      <c r="B25" s="7" t="inlineStr">
        <is>
          <t>Học sinh (thường)</t>
        </is>
      </c>
      <c r="C25" s="8" t="inlineStr">
        <is>
          <t>test2.hs@student.truongvietanh.com</t>
        </is>
      </c>
      <c r="D25" s="7" t="inlineStr">
        <is>
          <t>Học lớp 7B1 · KHÔNG phải tổ trưởng</t>
        </is>
      </c>
    </row>
    <row r="26">
      <c r="A26" s="6" t="inlineStr"/>
      <c r="B26" s="7" t="inlineStr">
        <is>
          <t>Phụ huynh</t>
        </is>
      </c>
      <c r="C26" s="8" t="inlineStr">
        <is>
          <t>test2.ph@truongvietanh.com</t>
        </is>
      </c>
      <c r="D26" s="7" t="inlineStr">
        <is>
          <t>Là phụ huynh của chính học sinh ở trên</t>
        </is>
      </c>
    </row>
    <row r="27">
      <c r="A27" s="6" t="inlineStr">
        <is>
          <t>N3 · Quản trị viên</t>
        </is>
      </c>
      <c r="B27" s="7" t="inlineStr">
        <is>
          <t>Quản trị viên</t>
        </is>
      </c>
      <c r="C27" s="8" t="inlineStr">
        <is>
          <t>test3.admin@truongvietanh.com</t>
        </is>
      </c>
      <c r="D27" s="7" t="inlineStr">
        <is>
          <t>Thấy toàn bộ hệ thống, mọi cơ sở</t>
        </is>
      </c>
    </row>
    <row r="28">
      <c r="A28" s="6" t="inlineStr"/>
      <c r="B28" s="7" t="inlineStr">
        <is>
          <t>Giáo viên chủ nhiệm</t>
        </is>
      </c>
      <c r="C28" s="8" t="inlineStr">
        <is>
          <t>test3.gvcn@truongvietanh.com</t>
        </is>
      </c>
      <c r="D28" s="7" t="inlineStr">
        <is>
          <t>Chủ nhiệm lớp 6A2 · cơ sở Việt Anh Gò Vấp</t>
        </is>
      </c>
    </row>
    <row r="29">
      <c r="A29" s="6" t="inlineStr"/>
      <c r="B29" s="7" t="inlineStr">
        <is>
          <t>Học sinh</t>
        </is>
      </c>
      <c r="C29" s="8" t="inlineStr">
        <is>
          <t>test3.hs@student.truongvietanh.com</t>
        </is>
      </c>
      <c r="D29" s="7" t="inlineStr">
        <is>
          <t>Học lớp 6A2 · cơ sở Việt Anh Gò Vấp</t>
        </is>
      </c>
    </row>
    <row r="31" ht="22" customHeight="1">
      <c r="A31" s="3" t="inlineStr">
        <is>
          <t>AI LIÊN QUAN TỚI AI — dùng cho phần phối hợp</t>
        </is>
      </c>
    </row>
    <row r="32">
      <c r="A32" s="9" t="inlineStr">
        <is>
          <t>CƠ SỞ VIỆT ANH QUẬN 2  →  lớp 7B1  →  giáo viên chủ nhiệm = Người 1</t>
        </is>
      </c>
    </row>
    <row r="33">
      <c r="A33" s="10" t="inlineStr">
        <is>
          <t xml:space="preserve">        trong lớp 7B1 có:  học sinh của Người 1 (tổ trưởng điểm danh)  +  học sinh của Người 2</t>
        </is>
      </c>
    </row>
    <row r="34">
      <c r="A34" s="10" t="inlineStr">
        <is>
          <t xml:space="preserve">        phụ huynh của Người 1 ── là cha/mẹ của ──&gt; học sinh Người 1</t>
        </is>
      </c>
    </row>
    <row r="35">
      <c r="A35" s="10" t="inlineStr">
        <is>
          <t xml:space="preserve">        phụ huynh của Người 2 ── là cha/mẹ của ──&gt; học sinh Người 2</t>
        </is>
      </c>
    </row>
    <row r="36">
      <c r="A36" s="10" t="inlineStr">
        <is>
          <t xml:space="preserve">        ban giám hiệu cơ sở này = Người 2  (thấy 7B1, KHÔNG thấy lớp nào của Gò Vấp)</t>
        </is>
      </c>
    </row>
    <row r="37">
      <c r="A37" s="10" t="inlineStr"/>
    </row>
    <row r="38">
      <c r="A38" s="9" t="inlineStr">
        <is>
          <t>CƠ SỞ VIỆT ANH GÒ VẤP  →  lớp 6A2  →  giáo viên chủ nhiệm = Người 3</t>
        </is>
      </c>
    </row>
    <row r="39">
      <c r="A39" s="10" t="inlineStr">
        <is>
          <t xml:space="preserve">        trong lớp 6A2 có: học sinh của Người 3</t>
        </is>
      </c>
    </row>
    <row r="40">
      <c r="A40" s="10" t="inlineStr">
        <is>
          <t xml:space="preserve">        (cơ sở này còn lớp 6A1 của tài khoản demo cũ — không thuộc phần thử)</t>
        </is>
      </c>
    </row>
    <row r="41">
      <c r="A41" s="10" t="inlineStr"/>
    </row>
    <row r="42">
      <c r="A42" s="9" t="inlineStr">
        <is>
          <t>QUẢN TRỊ VIÊN = Người 3  →  thấy TẤT CẢ mọi cơ sở, mọi lớp. Là người đối chứng.</t>
        </is>
      </c>
    </row>
    <row r="44" ht="22" customHeight="1">
      <c r="A44" s="3" t="inlineStr">
        <is>
          <t>KHI NÀO PHẢI DỪNG NGAY</t>
        </is>
      </c>
    </row>
    <row r="45" ht="46" customHeight="1">
      <c r="A45" s="11" t="inlineStr">
        <is>
          <t>Nếu bạn nhìn thấy dữ liệu của học sinh KHÔNG thuộc phạm vi mình — con của phụ huynh khác, lớp của giáo viên khác, cơ sở khác — thì DỪNG ĐỢT THỬ, chụp màn hình, và báo ngay. Đây là lỗi nghiêm trọng nhất, quan trọng hơn mọi lỗi giao diện.</t>
        </is>
      </c>
    </row>
  </sheetData>
  <mergeCells count="19">
    <mergeCell ref="A35:D35"/>
    <mergeCell ref="A4:D4"/>
    <mergeCell ref="A38:D38"/>
    <mergeCell ref="A19:D19"/>
    <mergeCell ref="A44:D44"/>
    <mergeCell ref="A40:D40"/>
    <mergeCell ref="A31:D31"/>
    <mergeCell ref="A34:D34"/>
    <mergeCell ref="A39:D39"/>
    <mergeCell ref="A11:D11"/>
    <mergeCell ref="A36:D36"/>
    <mergeCell ref="A1:D1"/>
    <mergeCell ref="A45:D45"/>
    <mergeCell ref="A41:D41"/>
    <mergeCell ref="A37:D37"/>
    <mergeCell ref="A2:D2"/>
    <mergeCell ref="A33:D33"/>
    <mergeCell ref="A42:D42"/>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pane ySplit="3" topLeftCell="A4" activePane="bottomLeft" state="frozen"/>
      <selection pane="bottomLeft" activeCell="A1" sqref="A1"/>
    </sheetView>
  </sheetViews>
  <sheetFormatPr baseColWidth="8" defaultRowHeight="15"/>
  <cols>
    <col width="34" customWidth="1" min="1" max="1"/>
    <col width="96" customWidth="1" min="2" max="2"/>
  </cols>
  <sheetData>
    <row r="1" ht="30" customHeight="1">
      <c r="A1" s="1" t="inlineStr">
        <is>
          <t>APP NÀY LÀ GÌ — đọc 10 phút trước khi thử</t>
        </is>
      </c>
    </row>
    <row r="2" ht="20" customHeight="1">
      <c r="A2" s="2" t="inlineStr">
        <is>
          <t>Viết cho người chưa từng nghe về app hay về 4DX. Không cần biết gì về máy tính.</t>
        </is>
      </c>
    </row>
    <row r="4" ht="22" customHeight="1">
      <c r="A4" s="3" t="inlineStr">
        <is>
          <t>Viet Anh Class là gì?</t>
        </is>
      </c>
    </row>
    <row r="5" ht="45" customHeight="1">
      <c r="A5" s="4" t="inlineStr">
        <is>
          <t>Đây là một ứng dụng web dùng trong Trường Việt Anh, mở bằng trình duyệt trên máy tính hoặc điện thoại — không phải tải về cài đặt. Mục đích của nó gói gọn trong một câu: giúp mỗi lớp chọn ra vài mục tiêu thật sự quan trọng, rồi theo dõi xem cả lớp có đang tiến về phía đó mỗi tuần hay không.</t>
        </is>
      </c>
    </row>
    <row r="6" ht="45" customHeight="1">
      <c r="A6" s="4" t="inlineStr">
        <is>
          <t>Trước khi có app, những thứ này nằm rải rác: điểm danh ghi sổ, mục tiêu lớp ghi trên bảng, thành tích học sinh nằm trong đầu giáo viên. App gom lại một chỗ để giáo viên đỡ nhớ, ban giám hiệu nhìn được toàn cảnh, và phụ huynh biết con mình đang đi tới đâu.</t>
        </is>
      </c>
    </row>
    <row r="7" ht="22" customHeight="1">
      <c r="A7" s="3" t="inlineStr">
        <is>
          <t>4DX — bốn nguyên tắc app này chạy theo</t>
        </is>
      </c>
    </row>
    <row r="8" ht="45" customHeight="1">
      <c r="A8" s="4" t="inlineStr">
        <is>
          <t>4DX là cách làm việc do FranklinCovey đưa ra, ý chính rất đơn giản: việc gấp luôn lấn át việc quan trọng, nên phải cố ý chọn ra một số ít mục tiêu và bảo vệ chúng. App dịch bốn nguyên tắc đó thành bốn thứ bạn sẽ thấy trên màn hình:</t>
        </is>
      </c>
    </row>
    <row r="9" ht="45" customHeight="1">
      <c r="A9" s="4" t="inlineStr">
        <is>
          <t>•  MỤC TIÊU (trong app gọi là WIG) — điều quan trọng nhất lớp muốn đạt. Có ba tầng lồng nhau: mục tiêu NĂM, chia nhỏ thành mục tiêu THÁNG, rồi thành mục tiêu TUẦN. Mỗi mục tiêu phát biểu theo dạng "Từ đâu → lên đâu", ví dụ: từ 10 buổi đọc sách lên 30 buổi.</t>
        </is>
      </c>
    </row>
    <row r="10" ht="45" customHeight="1">
      <c r="A10" s="4" t="inlineStr">
        <is>
          <t>•  VIỆC CẦN LÀM (trong app gọi là lead measure) — hành động cụ thể lặp đi lặp lại để đạt mục tiêu. Mục tiêu là thứ bạn muốn; việc cần làm là thứ bạn kiểm soát được. Ví dụ mục tiêu "tăng buổi đọc sách" thì việc cần làm là "mỗi tối đọc 20 phút".</t>
        </is>
      </c>
    </row>
    <row r="11" ht="30" customHeight="1">
      <c r="A11" s="4" t="inlineStr">
        <is>
          <t>•  BẢNG ĐIỂM — chỗ nhìn một cái là biết đang thắng hay thua. Trong app là các thanh tiến độ và bảng thi đua giữa các lớp.</t>
        </is>
      </c>
    </row>
    <row r="12" ht="30" customHeight="1">
      <c r="A12" s="4" t="inlineStr">
        <is>
          <t>•  HỌP HÀNG TUẦN — mỗi tuần cả lớp ngồi lại xem tuần qua làm được gì và cam kết tuần tới làm gì. App có mục riêng để ghi biên bản buổi họp này.</t>
        </is>
      </c>
    </row>
    <row r="13" ht="22" customHeight="1">
      <c r="A13" s="3" t="inlineStr">
        <is>
          <t>Dòng chảy của app — ai làm gì, theo thứ tự</t>
        </is>
      </c>
    </row>
    <row r="14">
      <c r="A14" s="5" t="inlineStr">
        <is>
          <t>Bước</t>
        </is>
      </c>
      <c r="B14" s="5" t="inlineStr">
        <is>
          <t>Chuyện gì xảy ra</t>
        </is>
      </c>
    </row>
    <row r="15" ht="16" customHeight="1">
      <c r="A15" s="6" t="inlineStr">
        <is>
          <t>1. Quản trị viên dựng nền</t>
        </is>
      </c>
      <c r="B15" s="7" t="inlineStr">
        <is>
          <t>Tạo cơ sở (chi nhánh trường), khai cấp học, tạo lớp, mời người dùng và gán vai trò.</t>
        </is>
      </c>
    </row>
    <row r="16" ht="30" customHeight="1">
      <c r="A16" s="6" t="inlineStr">
        <is>
          <t>2. Giáo viên đặt mục tiêu</t>
        </is>
      </c>
      <c r="B16" s="7" t="inlineStr">
        <is>
          <t>Giáo viên chủ nhiệm mở mục WIG, đặt mục tiêu năm cho lớp, chia thành mục tiêu tuần, và liệt kê việc cần làm.</t>
        </is>
      </c>
    </row>
    <row r="17" ht="16" customHeight="1">
      <c r="A17" s="6" t="inlineStr">
        <is>
          <t>3. Học sinh làm và tick</t>
        </is>
      </c>
      <c r="B17" s="7" t="inlineStr">
        <is>
          <t>Mỗi em mở app, thấy việc của mình trong tuần, làm xong thì tick. Tick xong tiến độ lớp nhích lên.</t>
        </is>
      </c>
    </row>
    <row r="18" ht="16" customHeight="1">
      <c r="A18" s="6" t="inlineStr">
        <is>
          <t>4. Điểm danh mỗi ngày</t>
        </is>
      </c>
      <c r="B18" s="7" t="inlineStr">
        <is>
          <t>Giáo viên (hoặc một em được giao làm tổ trưởng) đánh dấu ai có mặt, vắng, trễ, có phép.</t>
        </is>
      </c>
    </row>
    <row r="19" ht="16" customHeight="1">
      <c r="A19" s="6" t="inlineStr">
        <is>
          <t>5. Họp WIG cuối tuần</t>
        </is>
      </c>
      <c r="B19" s="7" t="inlineStr">
        <is>
          <t>Cả lớp nhìn lại bảng điểm, ghi biên bản, chốt cam kết cho tuần sau.</t>
        </is>
      </c>
    </row>
    <row r="20" ht="16" customHeight="1">
      <c r="A20" s="6" t="inlineStr">
        <is>
          <t>6. Ban giám hiệu theo dõi</t>
        </is>
      </c>
      <c r="B20" s="7" t="inlineStr">
        <is>
          <t>Nhìn bảng tổng hợp của cả cơ sở: lớp nào đang tốt, lớp nào đang đuối.</t>
        </is>
      </c>
    </row>
    <row r="21" ht="16" customHeight="1">
      <c r="A21" s="6" t="inlineStr">
        <is>
          <t>7. Phụ huynh xem báo cáo</t>
        </is>
      </c>
      <c r="B21" s="7" t="inlineStr">
        <is>
          <t>Nhận báo cáo về riêng con mình: đi học đều không, mục tiêu tới đâu.</t>
        </is>
      </c>
    </row>
    <row r="22" ht="22" customHeight="1">
      <c r="A22" s="3" t="inlineStr">
        <is>
          <t>Năm vai người dùng — nói cho dễ hiểu</t>
        </is>
      </c>
    </row>
    <row r="23">
      <c r="A23" s="5" t="inlineStr">
        <is>
          <t>Vai</t>
        </is>
      </c>
      <c r="B23" s="5" t="inlineStr">
        <is>
          <t>Là ai, thấy gì, làm gì</t>
        </is>
      </c>
    </row>
    <row r="24" ht="30" customHeight="1">
      <c r="A24" s="6" t="inlineStr">
        <is>
          <t>Quản trị viên</t>
        </is>
      </c>
      <c r="B24" s="7" t="inlineStr">
        <is>
          <t>Người phụ trách hệ thống của cả trường. Thấy TẤT CẢ mọi cơ sở, mọi lớp. Là người tạo cơ sở, tạo lớp, mời người mới và quyết định ai làm vai gì. Nếu có gì hỏng, đây là người sửa được.</t>
        </is>
      </c>
    </row>
    <row r="25" ht="45" customHeight="1">
      <c r="A25" s="6" t="inlineStr">
        <is>
          <t>Ban giám hiệu</t>
        </is>
      </c>
      <c r="B25" s="7" t="inlineStr">
        <is>
          <t>Hiệu trưởng hoặc phó hiệu trưởng của MỘT cơ sở. Nhìn được toàn bộ các lớp trong cơ sở mình — lớp nào điểm thi đua cao, lớp nào hôm nay chưa điểm danh. Quản lý được giáo viên, khối và lớp của cơ sở mình. KHÔNG thấy được gì của cơ sở khác.</t>
        </is>
      </c>
    </row>
    <row r="26" ht="30" customHeight="1">
      <c r="A26" s="6" t="inlineStr">
        <is>
          <t>Giáo viên chủ nhiệm</t>
        </is>
      </c>
      <c r="B26" s="7" t="inlineStr">
        <is>
          <t>Người dùng app nhiều nhất. Phụ trách ĐÚNG MỘT LỚP: điểm danh hằng ngày, đặt mục tiêu cho lớp, liệt kê việc cần làm, chạy buổi họp WIG hằng tuần. Không thấy được lớp của giáo viên khác.</t>
        </is>
      </c>
    </row>
    <row r="27" ht="45" customHeight="1">
      <c r="A27" s="6" t="inlineStr">
        <is>
          <t>Học sinh</t>
        </is>
      </c>
      <c r="B27" s="7" t="inlineStr">
        <is>
          <t>Mở app trên điện thoại, thấy mục tiêu và việc cần làm của RIÊNG MÌNH, làm xong thì tick. Không thấy được điểm hay tiến độ cá nhân của bạn cùng lớp. Một em trong lớp có thể được giáo viên giao thêm việc điểm danh hộ — gọi là tổ trưởng điểm danh, nhưng chỉ được ghi điểm danh của ngày hôm nay.</t>
        </is>
      </c>
    </row>
    <row r="28" ht="30" customHeight="1">
      <c r="A28" s="6" t="inlineStr">
        <is>
          <t>Phụ huynh</t>
        </is>
      </c>
      <c r="B28" s="7" t="inlineStr">
        <is>
          <t>Chỉ xem, không sửa gì. Thấy đúng một trang báo cáo về CON MÌNH: đi học đều không, mục tiêu tới đâu. Không thấy bất kỳ học sinh nào khác, kể cả bạn cùng lớp của con.</t>
        </is>
      </c>
    </row>
    <row r="29" ht="22" customHeight="1">
      <c r="A29" s="3" t="inlineStr">
        <is>
          <t>Các mục trên thanh menu nghĩa là gì</t>
        </is>
      </c>
    </row>
    <row r="30" ht="30" customHeight="1">
      <c r="A30" s="4" t="inlineStr">
        <is>
          <t>Thanh menu nằm trên cùng, màu xanh đậm. Mỗi vai thấy một số mục khác nhau — bạn sẽ KHÔNG thấy hết các mục dưới đây cùng lúc, đó là bình thường.</t>
        </is>
      </c>
    </row>
    <row r="31">
      <c r="A31" s="5" t="inlineStr">
        <is>
          <t>Tên mục</t>
        </is>
      </c>
      <c r="B31" s="5" t="inlineStr">
        <is>
          <t>Mở ra cái gì</t>
        </is>
      </c>
    </row>
    <row r="32" ht="16" customHeight="1">
      <c r="A32" s="6" t="inlineStr">
        <is>
          <t>Bảng điểm</t>
        </is>
      </c>
      <c r="B32" s="7" t="inlineStr">
        <is>
          <t>Trang chính của lớp: tình hình chung của lớp bạn đang phụ trách.</t>
        </is>
      </c>
    </row>
    <row r="33" ht="16" customHeight="1">
      <c r="A33" s="6" t="inlineStr">
        <is>
          <t>Bảng điểm của tôi</t>
        </is>
      </c>
      <c r="B33" s="7" t="inlineStr">
        <is>
          <t>Bản dành cho học sinh: thành tích của riêng em đó (tiêu đề “Bảng thành tích của em”).</t>
        </is>
      </c>
    </row>
    <row r="34" ht="16" customHeight="1">
      <c r="A34" s="6" t="inlineStr">
        <is>
          <t>Danh sách</t>
        </is>
      </c>
      <c r="B34" s="7" t="inlineStr">
        <is>
          <t>Danh sách học sinh trong lớp. Giáo viên ghi danh, cho rời lớp, chọn tổ trưởng điểm danh ở đây.</t>
        </is>
      </c>
    </row>
    <row r="35" ht="16" customHeight="1">
      <c r="A35" s="6" t="inlineStr">
        <is>
          <t>Điểm danh</t>
        </is>
      </c>
      <c r="B35" s="7" t="inlineStr">
        <is>
          <t>Đánh dấu ai có mặt / vắng / trễ / có phép trong ngày, rồi bấm lưu.</t>
        </is>
      </c>
    </row>
    <row r="36" ht="16" customHeight="1">
      <c r="A36" s="6" t="inlineStr">
        <is>
          <t>WIG</t>
        </is>
      </c>
      <c r="B36" s="7" t="inlineStr">
        <is>
          <t>Nơi đặt mục tiêu năm / tháng / tuần và liệt kê việc cần làm (tiêu đề “WIG &amp; Lead measure”).</t>
        </is>
      </c>
    </row>
    <row r="37" ht="30" customHeight="1">
      <c r="A37" s="6" t="inlineStr">
        <is>
          <t>Thi đua</t>
        </is>
      </c>
      <c r="B37" s="7" t="inlineStr">
        <is>
          <t>Bảng điểm thi đua — điểm cộng từ tiến độ việc cần làm, chia theo 4 lĩnh vực: Kiến thức, Kỹ năng, Tiếng Anh, Thể chất.</t>
        </is>
      </c>
    </row>
    <row r="38" ht="16" customHeight="1">
      <c r="A38" s="6" t="inlineStr">
        <is>
          <t>Thời khoá biểu</t>
        </is>
      </c>
      <c r="B38" s="7" t="inlineStr">
        <is>
          <t>Lưới tiết học trong tuần. Có thể ghi thêm ngoại lệ: hôm nay huỷ tiết, dời tiết, hoặc có người dạy thay.</t>
        </is>
      </c>
    </row>
    <row r="39" ht="16" customHeight="1">
      <c r="A39" s="6" t="inlineStr">
        <is>
          <t>Họp WIG</t>
        </is>
      </c>
      <c r="B39" s="7" t="inlineStr">
        <is>
          <t>Ghi biên bản buổi họp hằng tuần của lớp.</t>
        </is>
      </c>
    </row>
    <row r="40" ht="16" customHeight="1">
      <c r="A40" s="6" t="inlineStr">
        <is>
          <t>Cơ sở</t>
        </is>
      </c>
      <c r="B40" s="7" t="inlineStr">
        <is>
          <t>Dành cho ban giám hiệu: bảng tổng hợp mọi lớp trong cơ sở (tiêu đề “Báo cáo cơ sở”).</t>
        </is>
      </c>
    </row>
    <row r="41" ht="16" customHeight="1">
      <c r="A41" s="6" t="inlineStr">
        <is>
          <t>Quản trị</t>
        </is>
      </c>
      <c r="B41" s="7" t="inlineStr">
        <is>
          <t>Dành cho quản trị viên: người dùng, cơ sở, khối, lớp.</t>
        </is>
      </c>
    </row>
    <row r="42" ht="16" customHeight="1">
      <c r="A42" s="6" t="inlineStr">
        <is>
          <t>Báo cáo</t>
        </is>
      </c>
      <c r="B42" s="7" t="inlineStr">
        <is>
          <t>Dành cho phụ huynh: báo cáo về con mình.</t>
        </is>
      </c>
    </row>
    <row r="43" ht="16" customHeight="1">
      <c r="A43" s="6" t="inlineStr">
        <is>
          <t>Hình cái chuông</t>
        </is>
      </c>
      <c r="B43" s="7" t="inlineStr">
        <is>
          <t>Thông báo gửi tới bạn.</t>
        </is>
      </c>
    </row>
    <row r="44" ht="22" customHeight="1">
      <c r="A44" s="3" t="inlineStr">
        <is>
          <t>Vài chữ trong app dễ gây bối rối</t>
        </is>
      </c>
    </row>
    <row r="45">
      <c r="A45" s="5" t="inlineStr">
        <is>
          <t>Chữ trong app</t>
        </is>
      </c>
      <c r="B45" s="5" t="inlineStr">
        <is>
          <t>Nghĩa là</t>
        </is>
      </c>
    </row>
    <row r="46" ht="16" customHeight="1">
      <c r="A46" s="6" t="inlineStr">
        <is>
          <t>WIG</t>
        </is>
      </c>
      <c r="B46" s="7" t="inlineStr">
        <is>
          <t>Viết tắt tiếng Anh của “mục tiêu quan trọng nhất”. Cứ đọc là “mục tiêu” cho dễ.</t>
        </is>
      </c>
    </row>
    <row r="47" ht="30" customHeight="1">
      <c r="A47" s="6" t="inlineStr">
        <is>
          <t>Lead measure</t>
        </is>
      </c>
      <c r="B47" s="7" t="inlineStr">
        <is>
          <t>Việc cần làm đều đặn để đạt mục tiêu. App đang để nguyên tiếng Anh — bạn thấy có nên đổi sang tiếng Việt không? Ghi vào phiếu giúp.</t>
        </is>
      </c>
    </row>
    <row r="48" ht="16" customHeight="1">
      <c r="A48" s="6" t="inlineStr">
        <is>
          <t>Tổ trưởng điểm danh</t>
        </is>
      </c>
      <c r="B48" s="7" t="inlineStr">
        <is>
          <t>Một học sinh được giáo viên giao việc điểm danh hộ lớp, chỉ trong ngày hôm nay.</t>
        </is>
      </c>
    </row>
    <row r="49" ht="16" customHeight="1">
      <c r="A49" s="6" t="inlineStr">
        <is>
          <t>Khối</t>
        </is>
      </c>
      <c r="B49" s="7" t="inlineStr">
        <is>
          <t>Khối lớp, ví dụ Khối 6, Khối 7. Một cơ sở có nhiều khối, mỗi khối có nhiều lớp.</t>
        </is>
      </c>
    </row>
    <row r="50" ht="16" customHeight="1">
      <c r="A50" s="6" t="inlineStr">
        <is>
          <t>Cơ sở</t>
        </is>
      </c>
      <c r="B50" s="7" t="inlineStr">
        <is>
          <t>Một chi nhánh của trường, ví dụ Việt Anh Gò Vấp, Việt Anh Quận 2.</t>
        </is>
      </c>
    </row>
    <row r="51" ht="30" customHeight="1">
      <c r="A51" s="6" t="inlineStr">
        <is>
          <t>Chờ cấp quyền</t>
        </is>
      </c>
      <c r="B51" s="7" t="inlineStr">
        <is>
          <t>Tài khoản đã đăng nhập được nhưng chưa được giao vai trò nên chưa dùng được gì. Phải nhờ quản trị viên gán vai.</t>
        </is>
      </c>
    </row>
  </sheetData>
  <mergeCells count="16">
    <mergeCell ref="A4:B4"/>
    <mergeCell ref="A30:B30"/>
    <mergeCell ref="A2:B2"/>
    <mergeCell ref="A29:B29"/>
    <mergeCell ref="A7:B7"/>
    <mergeCell ref="A11:B11"/>
    <mergeCell ref="A10:B10"/>
    <mergeCell ref="A5:B5"/>
    <mergeCell ref="A13:B13"/>
    <mergeCell ref="A44:B44"/>
    <mergeCell ref="A1:B1"/>
    <mergeCell ref="A9:B9"/>
    <mergeCell ref="A8:B8"/>
    <mergeCell ref="A6:B6"/>
    <mergeCell ref="A22:B2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8"/>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52" customWidth="1" min="3" max="3"/>
    <col width="16" customWidth="1" min="4" max="4"/>
    <col width="8" customWidth="1" min="5" max="5"/>
    <col width="34" customWidth="1" min="6" max="6"/>
    <col width="12" customWidth="1" min="7" max="7"/>
    <col width="16" customWidth="1" min="8" max="8"/>
    <col width="8" customWidth="1" min="9" max="9"/>
    <col width="34" customWidth="1" min="10" max="10"/>
    <col width="12" customWidth="1" min="11" max="11"/>
    <col width="16" customWidth="1" min="12" max="12"/>
    <col width="8" customWidth="1" min="13" max="13"/>
    <col width="34" customWidth="1" min="14" max="14"/>
    <col width="5" customWidth="1" min="15" max="15"/>
  </cols>
  <sheetData>
    <row r="1" ht="30" customHeight="1">
      <c r="A1" s="1" t="inlineStr">
        <is>
          <t>N1 · Giáo viên — vai chính: Giáo viên chủ nhiệm</t>
        </is>
      </c>
    </row>
    <row r="2" ht="20" customHeight="1">
      <c r="A2" s="2" t="inlineStr">
        <is>
          <t>Bạn đóng vai giáo viên chủ nhiệm lớp 7B1 (cơ sở Việt Anh Quận 2). Đây là vai dùng app nhiều nhất, nên phần này dài nhất. Sau đó bạn đổi sang vai học sinh và phụ huynh để nhìn app từ phía các em và gia đình.</t>
        </is>
      </c>
    </row>
    <row r="4">
      <c r="A4" s="12" t="inlineStr">
        <is>
          <t>▸</t>
        </is>
      </c>
      <c r="B4" s="12" t="inlineStr">
        <is>
          <t>Giáo viên chủ nhiệm</t>
        </is>
      </c>
      <c r="C4" s="13" t="inlineStr">
        <is>
          <t>test1.gvcn@truongvietanh.com</t>
        </is>
      </c>
      <c r="D4" s="14" t="inlineStr">
        <is>
          <t>Chủ nhiệm lớp 7B1 · cơ sở Việt Anh Quận 2</t>
        </is>
      </c>
    </row>
    <row r="5">
      <c r="A5" s="12" t="inlineStr">
        <is>
          <t>▸</t>
        </is>
      </c>
      <c r="B5" s="12" t="inlineStr">
        <is>
          <t>Học sinh (tổ trưởng)</t>
        </is>
      </c>
      <c r="C5" s="13" t="inlineStr">
        <is>
          <t>test1.hs@student.truongvietanh.com</t>
        </is>
      </c>
      <c r="D5" s="14" t="inlineStr">
        <is>
          <t>Học lớp 7B1 · được giao làm tổ trưởng điểm danh</t>
        </is>
      </c>
    </row>
    <row r="6">
      <c r="A6" s="12" t="inlineStr">
        <is>
          <t>▸</t>
        </is>
      </c>
      <c r="B6" s="12" t="inlineStr">
        <is>
          <t>Phụ huynh</t>
        </is>
      </c>
      <c r="C6" s="13" t="inlineStr">
        <is>
          <t>test1.ph@truongvietanh.com</t>
        </is>
      </c>
      <c r="D6" s="14" t="inlineStr">
        <is>
          <t>Là phụ huynh của chính học sinh ở trên</t>
        </is>
      </c>
    </row>
    <row r="8" ht="18" customHeight="1">
      <c r="A8" s="15" t="n"/>
      <c r="B8" s="15" t="n"/>
      <c r="C8" s="15" t="n"/>
      <c r="D8" s="16" t="inlineStr">
        <is>
          <t>VÒNG THỬ 1</t>
        </is>
      </c>
      <c r="G8" s="17" t="inlineStr">
        <is>
          <t>GIỮA VÒNG</t>
        </is>
      </c>
      <c r="H8" s="16" t="inlineStr">
        <is>
          <t>VÒNG THỬ 2</t>
        </is>
      </c>
      <c r="K8" s="17" t="inlineStr">
        <is>
          <t>GIỮA VÒNG</t>
        </is>
      </c>
      <c r="L8" s="16" t="inlineStr">
        <is>
          <t>VÒNG THỬ 3</t>
        </is>
      </c>
    </row>
    <row r="9" ht="32" customHeight="1">
      <c r="A9" s="18" t="inlineStr">
        <is>
          <t>#</t>
        </is>
      </c>
      <c r="B9" s="18" t="inlineStr">
        <is>
          <t>BẠN LÀM GÌ</t>
        </is>
      </c>
      <c r="C9" s="18" t="inlineStr">
        <is>
          <t>BẠN SẼ THẤY GÌ</t>
        </is>
      </c>
      <c r="D9" s="19" t="inlineStr">
        <is>
          <t>Đúng như mô tả?</t>
        </is>
      </c>
      <c r="E9" s="19" t="inlineStr">
        <is>
          <t>Dễ dùng 1–5</t>
        </is>
      </c>
      <c r="F9" s="19" t="inlineStr">
        <is>
          <t>GHI CHÚ — viết thoải mái</t>
        </is>
      </c>
      <c r="G9" s="20" t="inlineStr">
        <is>
          <t>Đã sửa?</t>
        </is>
      </c>
      <c r="H9" s="19" t="inlineStr">
        <is>
          <t>Đúng như mô tả?</t>
        </is>
      </c>
      <c r="I9" s="19" t="inlineStr">
        <is>
          <t>Dễ dùng 1–5</t>
        </is>
      </c>
      <c r="J9" s="19" t="inlineStr">
        <is>
          <t>GHI CHÚ — viết thoải mái</t>
        </is>
      </c>
      <c r="K9" s="20" t="inlineStr">
        <is>
          <t>Đã sửa?</t>
        </is>
      </c>
      <c r="L9" s="19" t="inlineStr">
        <is>
          <t>Đúng như mô tả?</t>
        </is>
      </c>
      <c r="M9" s="19" t="inlineStr">
        <is>
          <t>Dễ dùng 1–5</t>
        </is>
      </c>
      <c r="N9" s="19" t="inlineStr">
        <is>
          <t>GHI CHÚ — viết thoải mái</t>
        </is>
      </c>
      <c r="O9" s="21" t="inlineStr">
        <is>
          <t>⚠</t>
        </is>
      </c>
    </row>
    <row r="10" ht="26" customHeight="1">
      <c r="A10" s="22" t="inlineStr">
        <is>
          <t>◆  VAI: GIÁO VIÊN CHỦ NHIỆM lớp 7B1        —        Nút demo: “N1 · Giáo viên chủ nhiệm 7B1”        —        Đây là vai chính của bạn. Hãy đi chậm và ghi lại mọi chỗ thấy khó hiểu.</t>
        </is>
      </c>
    </row>
    <row r="11" ht="65" customHeight="1">
      <c r="A11" s="7" t="n">
        <v>1</v>
      </c>
      <c r="B11" s="7" t="inlineStr">
        <is>
          <t>Mở https://class.vietanh.org trên máy tính.</t>
        </is>
      </c>
      <c r="C11" s="7" t="inlineStr">
        <is>
          <t>Trang đăng nhập: nền có đám đông học sinh mặc đồng phục đi lại, giữa trang là dòng chữ lớn “Viet Anh Class”, bên dưới có nút trắng “Đăng nhập với Google” và một dòng chữ nhỏ “Dành cho phụ huynh”.</t>
        </is>
      </c>
      <c r="D11" s="23" t="n"/>
      <c r="E11" s="23" t="n"/>
      <c r="F11" s="23" t="n"/>
      <c r="G11" s="24" t="n"/>
      <c r="H11" s="23" t="n"/>
      <c r="I11" s="23" t="n"/>
      <c r="J11" s="23" t="n"/>
      <c r="K11" s="24" t="n"/>
      <c r="L11" s="23" t="n"/>
      <c r="M11" s="23" t="n"/>
      <c r="N11" s="23" t="n"/>
      <c r="O11" s="25">
        <f>IF(OR(D11="Khác hẳn mô tả",D11="Không làm được / bị kẹt",H11="Khác hẳn mô tả",H11="Không làm được / bị kẹt",L11="Khác hẳn mô tả",L11="Không làm được / bị kẹt"),"⚠","")</f>
        <v/>
      </c>
    </row>
    <row r="12" ht="30" customHeight="1">
      <c r="A12" s="7" t="n">
        <v>2</v>
      </c>
      <c r="B12" s="7" t="inlineStr">
        <is>
          <t>Kéo xuống dưới thẻ đăng nhập, tìm khối chữ “Demo”. Bấm nút “N1 · Giáo viên chủ nhiệm 7B1”.</t>
        </is>
      </c>
      <c r="C12" s="7" t="inlineStr">
        <is>
          <t>App vào thẳng, không hỏi mật khẩu. Hiện ra thanh menu màu xanh đậm ở trên cùng.</t>
        </is>
      </c>
      <c r="D12" s="23" t="n"/>
      <c r="E12" s="23" t="n"/>
      <c r="F12" s="23" t="n"/>
      <c r="G12" s="24" t="n"/>
      <c r="H12" s="23" t="n"/>
      <c r="I12" s="23" t="n"/>
      <c r="J12" s="23" t="n"/>
      <c r="K12" s="24" t="n"/>
      <c r="L12" s="23" t="n"/>
      <c r="M12" s="23" t="n"/>
      <c r="N12" s="23" t="n"/>
      <c r="O12" s="25">
        <f>IF(OR(D12="Khác hẳn mô tả",D12="Không làm được / bị kẹt",H12="Khác hẳn mô tả",H12="Không làm được / bị kẹt",L12="Khác hẳn mô tả",L12="Không làm được / bị kẹt"),"⚠","")</f>
        <v/>
      </c>
    </row>
    <row r="13" ht="52" customHeight="1">
      <c r="A13" s="7" t="n">
        <v>3</v>
      </c>
      <c r="B13" s="7" t="inlineStr">
        <is>
          <t>Đọc lần lượt các mục trên thanh menu trên cùng.</t>
        </is>
      </c>
      <c r="C13" s="7" t="inlineStr">
        <is>
          <t>Có 6 mục: Bảng điểm · Danh sách · Điểm danh · WIG · Thi đua · Thời khoá biểu. Góc phải là tên bạn kèm dòng chữ “Giáo viên chủ nhiệm”, cạnh đó có hình cái chuông.</t>
        </is>
      </c>
      <c r="D13" s="23" t="n"/>
      <c r="E13" s="23" t="n"/>
      <c r="F13" s="23" t="n"/>
      <c r="G13" s="24" t="n"/>
      <c r="H13" s="23" t="n"/>
      <c r="I13" s="23" t="n"/>
      <c r="J13" s="23" t="n"/>
      <c r="K13" s="24" t="n"/>
      <c r="L13" s="23" t="n"/>
      <c r="M13" s="23" t="n"/>
      <c r="N13" s="23" t="n"/>
      <c r="O13" s="25">
        <f>IF(OR(D13="Khác hẳn mô tả",D13="Không làm được / bị kẹt",H13="Khác hẳn mô tả",H13="Không làm được / bị kẹt",L13="Khác hẳn mô tả",L13="Không làm được / bị kẹt"),"⚠","")</f>
        <v/>
      </c>
    </row>
    <row r="14" ht="52" customHeight="1">
      <c r="A14" s="7" t="n">
        <v>4</v>
      </c>
      <c r="B14" s="7" t="inlineStr">
        <is>
          <t>Nhìn màn hình đang mở sẵn (mục “Bảng điểm”).</t>
        </is>
      </c>
      <c r="C14" s="7" t="inlineStr">
        <is>
          <t>Đây là bảng điểm của lớp bạn chủ nhiệm — lớp 7B1. Nếu thấy dòng chữ “Chưa có lớp” thì nghĩa là tài khoản chưa được gắn lớp — dừng lại và báo ngay.</t>
        </is>
      </c>
      <c r="D14" s="23" t="n"/>
      <c r="E14" s="23" t="n"/>
      <c r="F14" s="23" t="n"/>
      <c r="G14" s="24" t="n"/>
      <c r="H14" s="23" t="n"/>
      <c r="I14" s="23" t="n"/>
      <c r="J14" s="23" t="n"/>
      <c r="K14" s="24" t="n"/>
      <c r="L14" s="23" t="n"/>
      <c r="M14" s="23" t="n"/>
      <c r="N14" s="23" t="n"/>
      <c r="O14" s="25">
        <f>IF(OR(D14="Khác hẳn mô tả",D14="Không làm được / bị kẹt",H14="Khác hẳn mô tả",H14="Không làm được / bị kẹt",L14="Khác hẳn mô tả",L14="Không làm được / bị kẹt"),"⚠","")</f>
        <v/>
      </c>
    </row>
    <row r="15" ht="39" customHeight="1">
      <c r="A15" s="7" t="n">
        <v>5</v>
      </c>
      <c r="B15" s="7" t="inlineStr">
        <is>
          <t>Bấm “Danh sách”. Đếm xem có bao nhiêu học sinh và ghi con số vào cột ghi chú.</t>
        </is>
      </c>
      <c r="C15" s="7" t="inlineStr">
        <is>
          <t>Tiêu đề “Danh sách lớp”. Thấy danh sách học sinh của lớp 7B1 (khoảng 3 em). Một trong số đó được đánh dấu là tổ trưởng điểm danh.</t>
        </is>
      </c>
      <c r="D15" s="23" t="n"/>
      <c r="E15" s="23" t="n"/>
      <c r="F15" s="23" t="n"/>
      <c r="G15" s="24" t="n"/>
      <c r="H15" s="23" t="n"/>
      <c r="I15" s="23" t="n"/>
      <c r="J15" s="23" t="n"/>
      <c r="K15" s="24" t="n"/>
      <c r="L15" s="23" t="n"/>
      <c r="M15" s="23" t="n"/>
      <c r="N15" s="23" t="n"/>
      <c r="O15" s="25">
        <f>IF(OR(D15="Khác hẳn mô tả",D15="Không làm được / bị kẹt",H15="Khác hẳn mô tả",H15="Không làm được / bị kẹt",L15="Khác hẳn mô tả",L15="Không làm được / bị kẹt"),"⚠","")</f>
        <v/>
      </c>
    </row>
    <row r="16" ht="39" customHeight="1">
      <c r="A16" s="7" t="n">
        <v>6</v>
      </c>
      <c r="B16" s="7" t="inlineStr">
        <is>
          <t>Bấm “Điểm danh”.</t>
        </is>
      </c>
      <c r="C16" s="7" t="inlineStr">
        <is>
          <t>Tiêu đề “Điểm danh”. Mỗi học sinh một dòng, mỗi dòng có 4 lựa chọn: Có mặt · Vắng · Trễ · Có phép. Phía dưới có nút “Lưu điểm danh”.</t>
        </is>
      </c>
      <c r="D16" s="23" t="n"/>
      <c r="E16" s="23" t="n"/>
      <c r="F16" s="23" t="n"/>
      <c r="G16" s="24" t="n"/>
      <c r="H16" s="23" t="n"/>
      <c r="I16" s="23" t="n"/>
      <c r="J16" s="23" t="n"/>
      <c r="K16" s="24" t="n"/>
      <c r="L16" s="23" t="n"/>
      <c r="M16" s="23" t="n"/>
      <c r="N16" s="23" t="n"/>
      <c r="O16" s="25">
        <f>IF(OR(D16="Khác hẳn mô tả",D16="Không làm được / bị kẹt",H16="Khác hẳn mô tả",H16="Không làm được / bị kẹt",L16="Khác hẳn mô tả",L16="Không làm được / bị kẹt"),"⚠","")</f>
        <v/>
      </c>
    </row>
    <row r="17" ht="39" customHeight="1">
      <c r="A17" s="7" t="n">
        <v>7</v>
      </c>
      <c r="B17" s="7" t="inlineStr">
        <is>
          <t>Chọn “Vắng” cho một em bất kỳ. KHOAN bấm lưu — nhìn cái nút lưu trước đã.</t>
        </is>
      </c>
      <c r="C17" s="7" t="inlineStr">
        <is>
          <t>Nút đổi thành “Lưu điểm danh (1)” — con số trong ngoặc là số thay đổi chưa lưu. Bạn thấy có đúng vậy không?</t>
        </is>
      </c>
      <c r="D17" s="23" t="n"/>
      <c r="E17" s="23" t="n"/>
      <c r="F17" s="23" t="n"/>
      <c r="G17" s="24" t="n"/>
      <c r="H17" s="23" t="n"/>
      <c r="I17" s="23" t="n"/>
      <c r="J17" s="23" t="n"/>
      <c r="K17" s="24" t="n"/>
      <c r="L17" s="23" t="n"/>
      <c r="M17" s="23" t="n"/>
      <c r="N17" s="23" t="n"/>
      <c r="O17" s="25">
        <f>IF(OR(D17="Khác hẳn mô tả",D17="Không làm được / bị kẹt",H17="Khác hẳn mô tả",H17="Không làm được / bị kẹt",L17="Khác hẳn mô tả",L17="Không làm được / bị kẹt"),"⚠","")</f>
        <v/>
      </c>
    </row>
    <row r="18" ht="30" customHeight="1">
      <c r="A18" s="7" t="n">
        <v>8</v>
      </c>
      <c r="B18" s="7" t="inlineStr">
        <is>
          <t>Bấm “Lưu điểm danh”.</t>
        </is>
      </c>
      <c r="C18" s="7" t="inlineStr">
        <is>
          <t>App lưu xong và dòng tổng kết phía trên đổi theo (dạng “Có mặt: … / …”).</t>
        </is>
      </c>
      <c r="D18" s="23" t="n"/>
      <c r="E18" s="23" t="n"/>
      <c r="F18" s="23" t="n"/>
      <c r="G18" s="24" t="n"/>
      <c r="H18" s="23" t="n"/>
      <c r="I18" s="23" t="n"/>
      <c r="J18" s="23" t="n"/>
      <c r="K18" s="24" t="n"/>
      <c r="L18" s="23" t="n"/>
      <c r="M18" s="23" t="n"/>
      <c r="N18" s="23" t="n"/>
      <c r="O18" s="25">
        <f>IF(OR(D18="Khác hẳn mô tả",D18="Không làm được / bị kẹt",H18="Khác hẳn mô tả",H18="Không làm được / bị kẹt",L18="Khác hẳn mô tả",L18="Không làm được / bị kẹt"),"⚠","")</f>
        <v/>
      </c>
    </row>
    <row r="19" ht="30" customHeight="1">
      <c r="A19" s="7" t="n">
        <v>9</v>
      </c>
      <c r="B19" s="7" t="inlineStr">
        <is>
          <t>Bấm “WIG”.</t>
        </is>
      </c>
      <c r="C19" s="7" t="inlineStr">
        <is>
          <t>Tiêu đề “WIG &amp; Lead measure”. Đây là nơi đặt mục tiêu cho lớp.</t>
        </is>
      </c>
      <c r="D19" s="23" t="n"/>
      <c r="E19" s="23" t="n"/>
      <c r="F19" s="23" t="n"/>
      <c r="G19" s="24" t="n"/>
      <c r="H19" s="23" t="n"/>
      <c r="I19" s="23" t="n"/>
      <c r="J19" s="23" t="n"/>
      <c r="K19" s="24" t="n"/>
      <c r="L19" s="23" t="n"/>
      <c r="M19" s="23" t="n"/>
      <c r="N19" s="23" t="n"/>
      <c r="O19" s="25">
        <f>IF(OR(D19="Khác hẳn mô tả",D19="Không làm được / bị kẹt",H19="Khác hẳn mô tả",H19="Không làm được / bị kẹt",L19="Khác hẳn mô tả",L19="Không làm được / bị kẹt"),"⚠","")</f>
        <v/>
      </c>
    </row>
    <row r="20" ht="65" customHeight="1">
      <c r="A20" s="7" t="n">
        <v>10</v>
      </c>
      <c r="B20" s="7" t="inlineStr">
        <is>
          <t>Ở khối tạo WIG năm, điền: “Tên mục tiêu” = Tăng số buổi đọc sách ở nhà · “Lĩnh vực” = Kiến thức · “Từ (hiện tại)” = 10 · “Đến (mục tiêu)” = 30 · “Đơn vị” = buổi · chọn “Năm học”. Bấm “+ Tạo WIG năm”.</t>
        </is>
      </c>
      <c r="C20" s="7" t="inlineStr">
        <is>
          <t>Xuất hiện một khối mới. DÒNG ĐẦU của khối là đúng cái tên bạn vừa đặt. Dòng nhỏ bên dưới ghi lĩnh vực, năm học, và “Từ 10 → 30 buổi”.</t>
        </is>
      </c>
      <c r="D20" s="23" t="n"/>
      <c r="E20" s="23" t="n"/>
      <c r="F20" s="23" t="n"/>
      <c r="G20" s="24" t="n"/>
      <c r="H20" s="23" t="n"/>
      <c r="I20" s="23" t="n"/>
      <c r="J20" s="23" t="n"/>
      <c r="K20" s="24" t="n"/>
      <c r="L20" s="23" t="n"/>
      <c r="M20" s="23" t="n"/>
      <c r="N20" s="23" t="n"/>
      <c r="O20" s="25">
        <f>IF(OR(D20="Khác hẳn mô tả",D20="Không làm được / bị kẹt",H20="Khác hẳn mô tả",H20="Không làm được / bị kẹt",L20="Khác hẳn mô tả",L20="Không làm được / bị kẹt"),"⚠","")</f>
        <v/>
      </c>
    </row>
    <row r="21" ht="52" customHeight="1">
      <c r="A21" s="26" t="n">
        <v>11</v>
      </c>
      <c r="B21" s="27" t="inlineStr">
        <is>
          <t>⚠ CỐ TÌNH LÀM SAI — Thử tạo thêm một WIG năm nữa nhưng để TRỐNG ô “Tên mục tiêu”, các ô khác điền bình thường. Bấm tạo.</t>
        </is>
      </c>
      <c r="C21" s="26" t="inlineStr">
        <is>
          <t>App phải chặn lại và báo lỗi ngay cạnh ô bị thiếu, bằng tiếng Việt dễ hiểu. Quan trọng: những gì bạn đã gõ ở các ô KHÁC phải còn nguyên, không bị xoá sạch.</t>
        </is>
      </c>
      <c r="D21" s="23" t="n"/>
      <c r="E21" s="23" t="n"/>
      <c r="F21" s="23" t="n"/>
      <c r="G21" s="24" t="n"/>
      <c r="H21" s="23" t="n"/>
      <c r="I21" s="23" t="n"/>
      <c r="J21" s="23" t="n"/>
      <c r="K21" s="24" t="n"/>
      <c r="L21" s="23" t="n"/>
      <c r="M21" s="23" t="n"/>
      <c r="N21" s="23" t="n"/>
      <c r="O21" s="25">
        <f>IF(OR(D21="Khác hẳn mô tả",D21="Không làm được / bị kẹt",H21="Khác hẳn mô tả",H21="Không làm được / bị kẹt",L21="Khác hẳn mô tả",L21="Không làm được / bị kẹt"),"⚠","")</f>
        <v/>
      </c>
    </row>
    <row r="22" ht="39" customHeight="1">
      <c r="A22" s="26" t="n">
        <v>12</v>
      </c>
      <c r="B22" s="27" t="inlineStr">
        <is>
          <t>⚠ CỐ TÌNH LÀM SAI — Thử nữa: điền “Từ (hiện tại)” = 50 và “Đến (mục tiêu)” = 20 (tức là đi lùi). Bấm tạo.</t>
        </is>
      </c>
      <c r="C22" s="26" t="inlineStr">
        <is>
          <t>App phải chặn và nói rõ vì sao — đại ý mốc xuất phát phải nhỏ hơn mục tiêu. Câu báo lỗi có dễ hiểu với bạn không?</t>
        </is>
      </c>
      <c r="D22" s="23" t="n"/>
      <c r="E22" s="23" t="n"/>
      <c r="F22" s="23" t="n"/>
      <c r="G22" s="24" t="n"/>
      <c r="H22" s="23" t="n"/>
      <c r="I22" s="23" t="n"/>
      <c r="J22" s="23" t="n"/>
      <c r="K22" s="24" t="n"/>
      <c r="L22" s="23" t="n"/>
      <c r="M22" s="23" t="n"/>
      <c r="N22" s="23" t="n"/>
      <c r="O22" s="25">
        <f>IF(OR(D22="Khác hẳn mô tả",D22="Không làm được / bị kẹt",H22="Khác hẳn mô tả",H22="Không làm được / bị kẹt",L22="Khác hẳn mô tả",L22="Không làm được / bị kẹt"),"⚠","")</f>
        <v/>
      </c>
    </row>
    <row r="23" ht="39" customHeight="1">
      <c r="A23" s="7" t="n">
        <v>13</v>
      </c>
      <c r="B23" s="7" t="inlineStr">
        <is>
          <t>Trong khối WIG năm vừa tạo, tìm phần tạo WIG tuần. Điền tên mục tiêu tuần, mục tiêu, đơn vị, chọn kỳ (tuần). Bấm “+ Tạo WIG tuần”.</t>
        </is>
      </c>
      <c r="C23" s="7" t="inlineStr">
        <is>
          <t>Một khối tuần mới hiện ra nằm bên trong khối WIG năm. Dòng đầu của nó cũng là tên mục tiêu bạn vừa đặt.</t>
        </is>
      </c>
      <c r="D23" s="23" t="n"/>
      <c r="E23" s="23" t="n"/>
      <c r="F23" s="23" t="n"/>
      <c r="G23" s="24" t="n"/>
      <c r="H23" s="23" t="n"/>
      <c r="I23" s="23" t="n"/>
      <c r="J23" s="23" t="n"/>
      <c r="K23" s="24" t="n"/>
      <c r="L23" s="23" t="n"/>
      <c r="M23" s="23" t="n"/>
      <c r="N23" s="23" t="n"/>
      <c r="O23" s="25">
        <f>IF(OR(D23="Khác hẳn mô tả",D23="Không làm được / bị kẹt",H23="Khác hẳn mô tả",H23="Không làm được / bị kẹt",L23="Khác hẳn mô tả",L23="Không làm được / bị kẹt"),"⚠","")</f>
        <v/>
      </c>
    </row>
    <row r="24" ht="30" customHeight="1">
      <c r="A24" s="7" t="n">
        <v>14</v>
      </c>
      <c r="B24" s="7" t="inlineStr">
        <is>
          <t>Trong khối tuần đó, bấm “+ Thêm lead measure”. Điền tên việc cần làm và mục tiêu, rồi lưu.</t>
        </is>
      </c>
      <c r="C24" s="7" t="inlineStr">
        <is>
          <t>Lead measure hiện thành một dòng. Bên phải dòng đó có một ô nhỏ điền số và nút “Ghi +”.</t>
        </is>
      </c>
      <c r="D24" s="23" t="n"/>
      <c r="E24" s="23" t="n"/>
      <c r="F24" s="23" t="n"/>
      <c r="G24" s="24" t="n"/>
      <c r="H24" s="23" t="n"/>
      <c r="I24" s="23" t="n"/>
      <c r="J24" s="23" t="n"/>
      <c r="K24" s="24" t="n"/>
      <c r="L24" s="23" t="n"/>
      <c r="M24" s="23" t="n"/>
      <c r="N24" s="23" t="n"/>
      <c r="O24" s="25">
        <f>IF(OR(D24="Khác hẳn mô tả",D24="Không làm được / bị kẹt",H24="Khác hẳn mô tả",H24="Không làm được / bị kẹt",L24="Khác hẳn mô tả",L24="Không làm được / bị kẹt"),"⚠","")</f>
        <v/>
      </c>
    </row>
    <row r="25" ht="30" customHeight="1">
      <c r="A25" s="7" t="n">
        <v>15</v>
      </c>
      <c r="B25" s="7" t="inlineStr">
        <is>
          <t>Gõ số 1 vào ô cạnh nút “Ghi +”, rồi bấm “Ghi +”.</t>
        </is>
      </c>
      <c r="C25" s="7" t="inlineStr">
        <is>
          <t>Thanh tiến độ nhích lên và con số bên phải đổi theo.</t>
        </is>
      </c>
      <c r="D25" s="23" t="n"/>
      <c r="E25" s="23" t="n"/>
      <c r="F25" s="23" t="n"/>
      <c r="G25" s="24" t="n"/>
      <c r="H25" s="23" t="n"/>
      <c r="I25" s="23" t="n"/>
      <c r="J25" s="23" t="n"/>
      <c r="K25" s="24" t="n"/>
      <c r="L25" s="23" t="n"/>
      <c r="M25" s="23" t="n"/>
      <c r="N25" s="23" t="n"/>
      <c r="O25" s="25">
        <f>IF(OR(D25="Khác hẳn mô tả",D25="Không làm được / bị kẹt",H25="Khác hẳn mô tả",H25="Không làm được / bị kẹt",L25="Khác hẳn mô tả",L25="Không làm được / bị kẹt"),"⚠","")</f>
        <v/>
      </c>
    </row>
    <row r="26" ht="30" customHeight="1">
      <c r="A26" s="7" t="n">
        <v>16</v>
      </c>
      <c r="B26" s="7" t="inlineStr">
        <is>
          <t>Bấm “Thi đua”.</t>
        </is>
      </c>
      <c r="C26" s="7" t="inlineStr">
        <is>
          <t>Tiêu đề “Bảng điểm thi đua”. Bảng này cộng điểm từ tiến độ lead measure theo 4 lĩnh vực.</t>
        </is>
      </c>
      <c r="D26" s="23" t="n"/>
      <c r="E26" s="23" t="n"/>
      <c r="F26" s="23" t="n"/>
      <c r="G26" s="24" t="n"/>
      <c r="H26" s="23" t="n"/>
      <c r="I26" s="23" t="n"/>
      <c r="J26" s="23" t="n"/>
      <c r="K26" s="24" t="n"/>
      <c r="L26" s="23" t="n"/>
      <c r="M26" s="23" t="n"/>
      <c r="N26" s="23" t="n"/>
      <c r="O26" s="25">
        <f>IF(OR(D26="Khác hẳn mô tả",D26="Không làm được / bị kẹt",H26="Khác hẳn mô tả",H26="Không làm được / bị kẹt",L26="Khác hẳn mô tả",L26="Không làm được / bị kẹt"),"⚠","")</f>
        <v/>
      </c>
    </row>
    <row r="27" ht="30" customHeight="1">
      <c r="A27" s="7" t="n">
        <v>17</v>
      </c>
      <c r="B27" s="7" t="inlineStr">
        <is>
          <t>Bấm “Thời khoá biểu”. Thử thêm một tiết học vào lưới.</t>
        </is>
      </c>
      <c r="C27" s="7" t="inlineStr">
        <is>
          <t>Lưới thời khoá biểu: cột là các thứ trong tuần, hàng là tiết. Bên dưới có phần thêm tiết.</t>
        </is>
      </c>
      <c r="D27" s="23" t="n"/>
      <c r="E27" s="23" t="n"/>
      <c r="F27" s="23" t="n"/>
      <c r="G27" s="24" t="n"/>
      <c r="H27" s="23" t="n"/>
      <c r="I27" s="23" t="n"/>
      <c r="J27" s="23" t="n"/>
      <c r="K27" s="24" t="n"/>
      <c r="L27" s="23" t="n"/>
      <c r="M27" s="23" t="n"/>
      <c r="N27" s="23" t="n"/>
      <c r="O27" s="25">
        <f>IF(OR(D27="Khác hẳn mô tả",D27="Không làm được / bị kẹt",H27="Khác hẳn mô tả",H27="Không làm được / bị kẹt",L27="Khác hẳn mô tả",L27="Không làm được / bị kẹt"),"⚠","")</f>
        <v/>
      </c>
    </row>
    <row r="28" ht="30" customHeight="1">
      <c r="A28" s="7" t="n">
        <v>18</v>
      </c>
      <c r="B28" s="7" t="inlineStr">
        <is>
          <t>Bấm hình cái chuông ở góc trên bên phải.</t>
        </is>
      </c>
      <c r="C28" s="7" t="inlineStr">
        <is>
          <t>Trang “Thông báo”. Nếu chưa có gì thì hiện dòng “Chưa có thông báo nào.”</t>
        </is>
      </c>
      <c r="D28" s="23" t="n"/>
      <c r="E28" s="23" t="n"/>
      <c r="F28" s="23" t="n"/>
      <c r="G28" s="24" t="n"/>
      <c r="H28" s="23" t="n"/>
      <c r="I28" s="23" t="n"/>
      <c r="J28" s="23" t="n"/>
      <c r="K28" s="24" t="n"/>
      <c r="L28" s="23" t="n"/>
      <c r="M28" s="23" t="n"/>
      <c r="N28" s="23" t="n"/>
      <c r="O28" s="25">
        <f>IF(OR(D28="Khác hẳn mô tả",D28="Không làm được / bị kẹt",H28="Khác hẳn mô tả",H28="Không làm được / bị kẹt",L28="Khác hẳn mô tả",L28="Không làm được / bị kẹt"),"⚠","")</f>
        <v/>
      </c>
    </row>
    <row r="29" ht="39" customHeight="1">
      <c r="A29" s="28" t="n">
        <v>19</v>
      </c>
      <c r="B29" s="29" t="inlineStr">
        <is>
          <t>📱 TRÊN ĐIỆN THOẠI — Lấy điện thoại, mở https://class.vietanh.org, đăng nhập cùng nút demo, rồi làm lại việc điểm danh.</t>
        </is>
      </c>
      <c r="C29" s="28" t="inlineStr">
        <is>
          <t>Mọi nút phải bấm trúng được bằng đầu ngón tay, chữ đọc được mà không cần phóng to, và không phải kéo ngang màn hình để thấy hết nội dung.</t>
        </is>
      </c>
      <c r="D29" s="23" t="n"/>
      <c r="E29" s="23" t="n"/>
      <c r="F29" s="23" t="n"/>
      <c r="G29" s="24" t="n"/>
      <c r="H29" s="23" t="n"/>
      <c r="I29" s="23" t="n"/>
      <c r="J29" s="23" t="n"/>
      <c r="K29" s="24" t="n"/>
      <c r="L29" s="23" t="n"/>
      <c r="M29" s="23" t="n"/>
      <c r="N29" s="23" t="n"/>
      <c r="O29" s="25">
        <f>IF(OR(D29="Khác hẳn mô tả",D29="Không làm được / bị kẹt",H29="Khác hẳn mô tả",H29="Không làm được / bị kẹt",L29="Khác hẳn mô tả",L29="Không làm được / bị kẹt"),"⚠","")</f>
        <v/>
      </c>
    </row>
    <row r="30" ht="30" customHeight="1">
      <c r="A30" s="7" t="n">
        <v>20</v>
      </c>
      <c r="B30" s="7" t="inlineStr">
        <is>
          <t>Bấm vào tên bạn ở góc trên bên phải, chọn “Đăng xuất”.</t>
        </is>
      </c>
      <c r="C30" s="7" t="inlineStr">
        <is>
          <t>Quay về trang đăng nhập.</t>
        </is>
      </c>
      <c r="D30" s="23" t="n"/>
      <c r="E30" s="23" t="n"/>
      <c r="F30" s="23" t="n"/>
      <c r="G30" s="24" t="n"/>
      <c r="H30" s="23" t="n"/>
      <c r="I30" s="23" t="n"/>
      <c r="J30" s="23" t="n"/>
      <c r="K30" s="24" t="n"/>
      <c r="L30" s="23" t="n"/>
      <c r="M30" s="23" t="n"/>
      <c r="N30" s="23" t="n"/>
      <c r="O30" s="25">
        <f>IF(OR(D30="Khác hẳn mô tả",D30="Không làm được / bị kẹt",H30="Khác hẳn mô tả",H30="Không làm được / bị kẹt",L30="Khác hẳn mô tả",L30="Không làm được / bị kẹt"),"⚠","")</f>
        <v/>
      </c>
    </row>
    <row r="31" ht="26" customHeight="1">
      <c r="A31" s="22" t="inlineStr">
        <is>
          <t>◆  VAI: HỌC SINH — kiêm TỔ TRƯỞNG ĐIỂM DANH lớp 7B1        —        Nút demo: “N1 · Học sinh 7B1 (tổ trưởng)”        —        Giờ bạn nhìn app bằng mắt của một em học sinh được giao thêm việc điểm danh hộ lớp.</t>
        </is>
      </c>
    </row>
    <row r="32" ht="30" customHeight="1">
      <c r="A32" s="7" t="n">
        <v>21</v>
      </c>
      <c r="B32" s="7" t="inlineStr">
        <is>
          <t>Đăng nhập bằng nút demo “N1 · Học sinh 7B1 (tổ trưởng)”.</t>
        </is>
      </c>
      <c r="C32" s="7" t="inlineStr">
        <is>
          <t>Thanh menu ngắn hơn hẳn lúc nãy. Góc phải ghi “Học sinh”.</t>
        </is>
      </c>
      <c r="D32" s="23" t="n"/>
      <c r="E32" s="23" t="n"/>
      <c r="F32" s="23" t="n"/>
      <c r="G32" s="24" t="n"/>
      <c r="H32" s="23" t="n"/>
      <c r="I32" s="23" t="n"/>
      <c r="J32" s="23" t="n"/>
      <c r="K32" s="24" t="n"/>
      <c r="L32" s="23" t="n"/>
      <c r="M32" s="23" t="n"/>
      <c r="N32" s="23" t="n"/>
      <c r="O32" s="25">
        <f>IF(OR(D32="Khác hẳn mô tả",D32="Không làm được / bị kẹt",H32="Khác hẳn mô tả",H32="Không làm được / bị kẹt",L32="Khác hẳn mô tả",L32="Không làm được / bị kẹt"),"⚠","")</f>
        <v/>
      </c>
    </row>
    <row r="33" ht="39" customHeight="1">
      <c r="A33" s="7" t="n">
        <v>22</v>
      </c>
      <c r="B33" s="7" t="inlineStr">
        <is>
          <t>Đọc các mục trên thanh menu và ghi lại vào cột ghi chú.</t>
        </is>
      </c>
      <c r="C33" s="7" t="inlineStr">
        <is>
          <t>Có “Bảng điểm của tôi” và “Thời khoá biểu”. Vì em này là tổ trưởng nên có thêm mục “Điểm danh”. Bạn đếm được mấy mục?</t>
        </is>
      </c>
      <c r="D33" s="23" t="n"/>
      <c r="E33" s="23" t="n"/>
      <c r="F33" s="23" t="n"/>
      <c r="G33" s="24" t="n"/>
      <c r="H33" s="23" t="n"/>
      <c r="I33" s="23" t="n"/>
      <c r="J33" s="23" t="n"/>
      <c r="K33" s="24" t="n"/>
      <c r="L33" s="23" t="n"/>
      <c r="M33" s="23" t="n"/>
      <c r="N33" s="23" t="n"/>
      <c r="O33" s="25">
        <f>IF(OR(D33="Khác hẳn mô tả",D33="Không làm được / bị kẹt",H33="Khác hẳn mô tả",H33="Không làm được / bị kẹt",L33="Khác hẳn mô tả",L33="Không làm được / bị kẹt"),"⚠","")</f>
        <v/>
      </c>
    </row>
    <row r="34" ht="30" customHeight="1">
      <c r="A34" s="7" t="n">
        <v>23</v>
      </c>
      <c r="B34" s="7" t="inlineStr">
        <is>
          <t>Mở “Bảng điểm của tôi”.</t>
        </is>
      </c>
      <c r="C34" s="7" t="inlineStr">
        <is>
          <t>Tiêu đề “Bảng thành tích của em”. Đây là điểm và tiến độ của riêng em này.</t>
        </is>
      </c>
      <c r="D34" s="23" t="n"/>
      <c r="E34" s="23" t="n"/>
      <c r="F34" s="23" t="n"/>
      <c r="G34" s="24" t="n"/>
      <c r="H34" s="23" t="n"/>
      <c r="I34" s="23" t="n"/>
      <c r="J34" s="23" t="n"/>
      <c r="K34" s="24" t="n"/>
      <c r="L34" s="23" t="n"/>
      <c r="M34" s="23" t="n"/>
      <c r="N34" s="23" t="n"/>
      <c r="O34" s="25">
        <f>IF(OR(D34="Khác hẳn mô tả",D34="Không làm được / bị kẹt",H34="Khác hẳn mô tả",H34="Không làm được / bị kẹt",L34="Khác hẳn mô tả",L34="Không làm được / bị kẹt"),"⚠","")</f>
        <v/>
      </c>
    </row>
    <row r="35" ht="30" customHeight="1">
      <c r="A35" s="7" t="n">
        <v>24</v>
      </c>
      <c r="B35" s="7" t="inlineStr">
        <is>
          <t>Tìm phần tick việc hằng ngày. Tick một việc.</t>
        </is>
      </c>
      <c r="C35" s="7" t="inlineStr">
        <is>
          <t>Việc vừa tick được đánh dấu là đã làm, tiến độ nhích lên.</t>
        </is>
      </c>
      <c r="D35" s="23" t="n"/>
      <c r="E35" s="23" t="n"/>
      <c r="F35" s="23" t="n"/>
      <c r="G35" s="24" t="n"/>
      <c r="H35" s="23" t="n"/>
      <c r="I35" s="23" t="n"/>
      <c r="J35" s="23" t="n"/>
      <c r="K35" s="24" t="n"/>
      <c r="L35" s="23" t="n"/>
      <c r="M35" s="23" t="n"/>
      <c r="N35" s="23" t="n"/>
      <c r="O35" s="25">
        <f>IF(OR(D35="Khác hẳn mô tả",D35="Không làm được / bị kẹt",H35="Khác hẳn mô tả",H35="Không làm được / bị kẹt",L35="Khác hẳn mô tả",L35="Không làm được / bị kẹt"),"⚠","")</f>
        <v/>
      </c>
    </row>
    <row r="36" ht="39" customHeight="1">
      <c r="A36" s="7" t="n">
        <v>25</v>
      </c>
      <c r="B36" s="7" t="inlineStr">
        <is>
          <t>Mở “Điểm danh” rồi thử điểm danh cho lớp.</t>
        </is>
      </c>
      <c r="C36" s="7" t="inlineStr">
        <is>
          <t>Em tổ trưởng ghi được điểm danh của NGÀY HÔM NAY. Thử tìm cách sửa điểm danh của một ngày trước đó — app có cho không? Ghi lại điều bạn thấy.</t>
        </is>
      </c>
      <c r="D36" s="23" t="n"/>
      <c r="E36" s="23" t="n"/>
      <c r="F36" s="23" t="n"/>
      <c r="G36" s="24" t="n"/>
      <c r="H36" s="23" t="n"/>
      <c r="I36" s="23" t="n"/>
      <c r="J36" s="23" t="n"/>
      <c r="K36" s="24" t="n"/>
      <c r="L36" s="23" t="n"/>
      <c r="M36" s="23" t="n"/>
      <c r="N36" s="23" t="n"/>
      <c r="O36" s="25">
        <f>IF(OR(D36="Khác hẳn mô tả",D36="Không làm được / bị kẹt",H36="Khác hẳn mô tả",H36="Không làm được / bị kẹt",L36="Khác hẳn mô tả",L36="Không làm được / bị kẹt"),"⚠","")</f>
        <v/>
      </c>
    </row>
    <row r="37" ht="39" customHeight="1">
      <c r="A37" s="7" t="n">
        <v>26</v>
      </c>
      <c r="B37" s="7" t="inlineStr">
        <is>
          <t>Nhìn kỹ toàn bộ màn hình: bạn có thấy điểm hay tiến độ cá nhân của bạn cùng lớp ở đâu không?</t>
        </is>
      </c>
      <c r="C37" s="7" t="inlineStr">
        <is>
          <t>KHÔNG được thấy. Em học sinh chỉ thấy thành tích của chính mình. Nếu thấy tên và điểm của bạn khác — dừng lại và báo ngay.</t>
        </is>
      </c>
      <c r="D37" s="23" t="n"/>
      <c r="E37" s="23" t="n"/>
      <c r="F37" s="23" t="n"/>
      <c r="G37" s="24" t="n"/>
      <c r="H37" s="23" t="n"/>
      <c r="I37" s="23" t="n"/>
      <c r="J37" s="23" t="n"/>
      <c r="K37" s="24" t="n"/>
      <c r="L37" s="23" t="n"/>
      <c r="M37" s="23" t="n"/>
      <c r="N37" s="23" t="n"/>
      <c r="O37" s="25">
        <f>IF(OR(D37="Khác hẳn mô tả",D37="Không làm được / bị kẹt",H37="Khác hẳn mô tả",H37="Không làm được / bị kẹt",L37="Khác hẳn mô tả",L37="Không làm được / bị kẹt"),"⚠","")</f>
        <v/>
      </c>
    </row>
    <row r="38" ht="26" customHeight="1">
      <c r="A38" s="22" t="inlineStr">
        <is>
          <t>◆  VAI: PHỤ HUYNH        —        Nút demo: “N1 · Phụ huynh”        —        Cuối cùng, bạn nhìn app bằng mắt một người cha/mẹ ở nhà.</t>
        </is>
      </c>
    </row>
    <row r="39" ht="30" customHeight="1">
      <c r="A39" s="7" t="n">
        <v>27</v>
      </c>
      <c r="B39" s="7" t="inlineStr">
        <is>
          <t>Đăng xuất, rồi đăng nhập bằng nút demo “N1 · Phụ huynh”.</t>
        </is>
      </c>
      <c r="C39" s="7" t="inlineStr">
        <is>
          <t>Góc phải ghi “Phụ huynh”. Thanh menu rất ngắn.</t>
        </is>
      </c>
      <c r="D39" s="23" t="n"/>
      <c r="E39" s="23" t="n"/>
      <c r="F39" s="23" t="n"/>
      <c r="G39" s="24" t="n"/>
      <c r="H39" s="23" t="n"/>
      <c r="I39" s="23" t="n"/>
      <c r="J39" s="23" t="n"/>
      <c r="K39" s="24" t="n"/>
      <c r="L39" s="23" t="n"/>
      <c r="M39" s="23" t="n"/>
      <c r="N39" s="23" t="n"/>
      <c r="O39" s="25">
        <f>IF(OR(D39="Khác hẳn mô tả",D39="Không làm được / bị kẹt",H39="Khác hẳn mô tả",H39="Không làm được / bị kẹt",L39="Khác hẳn mô tả",L39="Không làm được / bị kẹt"),"⚠","")</f>
        <v/>
      </c>
    </row>
    <row r="40" ht="30" customHeight="1">
      <c r="A40" s="7" t="n">
        <v>28</v>
      </c>
      <c r="B40" s="7" t="inlineStr">
        <is>
          <t>Đếm các mục trên thanh menu.</t>
        </is>
      </c>
      <c r="C40" s="7" t="inlineStr">
        <is>
          <t>Chỉ có mục “Báo cáo” (và cái chuông). Phụ huynh không vào được bất cứ màn quản lý nào.</t>
        </is>
      </c>
      <c r="D40" s="23" t="n"/>
      <c r="E40" s="23" t="n"/>
      <c r="F40" s="23" t="n"/>
      <c r="G40" s="24" t="n"/>
      <c r="H40" s="23" t="n"/>
      <c r="I40" s="23" t="n"/>
      <c r="J40" s="23" t="n"/>
      <c r="K40" s="24" t="n"/>
      <c r="L40" s="23" t="n"/>
      <c r="M40" s="23" t="n"/>
      <c r="N40" s="23" t="n"/>
      <c r="O40" s="25">
        <f>IF(OR(D40="Khác hẳn mô tả",D40="Không làm được / bị kẹt",H40="Khác hẳn mô tả",H40="Không làm được / bị kẹt",L40="Khác hẳn mô tả",L40="Không làm được / bị kẹt"),"⚠","")</f>
        <v/>
      </c>
    </row>
    <row r="41" ht="39" customHeight="1">
      <c r="A41" s="7" t="n">
        <v>29</v>
      </c>
      <c r="B41" s="7" t="inlineStr">
        <is>
          <t>Mở “Báo cáo”.</t>
        </is>
      </c>
      <c r="C41" s="7" t="inlineStr">
        <is>
          <t>Tiêu đề “Báo cáo phụ huynh”. Thấy thông tin về CON MÌNH: lớp, số buổi vắng/trễ, tiến độ mục tiêu.</t>
        </is>
      </c>
      <c r="D41" s="23" t="n"/>
      <c r="E41" s="23" t="n"/>
      <c r="F41" s="23" t="n"/>
      <c r="G41" s="24" t="n"/>
      <c r="H41" s="23" t="n"/>
      <c r="I41" s="23" t="n"/>
      <c r="J41" s="23" t="n"/>
      <c r="K41" s="24" t="n"/>
      <c r="L41" s="23" t="n"/>
      <c r="M41" s="23" t="n"/>
      <c r="N41" s="23" t="n"/>
      <c r="O41" s="25">
        <f>IF(OR(D41="Khác hẳn mô tả",D41="Không làm được / bị kẹt",H41="Khác hẳn mô tả",H41="Không làm được / bị kẹt",L41="Khác hẳn mô tả",L41="Không làm được / bị kẹt"),"⚠","")</f>
        <v/>
      </c>
    </row>
    <row r="42" ht="39" customHeight="1">
      <c r="A42" s="7" t="n">
        <v>30</v>
      </c>
      <c r="B42" s="7" t="inlineStr">
        <is>
          <t>Đếm xem báo cáo nhắc tới bao nhiêu học sinh. Ghi con số vào ghi chú.</t>
        </is>
      </c>
      <c r="C42" s="7" t="inlineStr">
        <is>
          <t>Phải đúng 1 — chỉ con của bạn. Lớp 7B1 còn có con của Người thử 2, bạn TUYỆT ĐỐI không được thấy em đó.</t>
        </is>
      </c>
      <c r="D42" s="23" t="n"/>
      <c r="E42" s="23" t="n"/>
      <c r="F42" s="23" t="n"/>
      <c r="G42" s="24" t="n"/>
      <c r="H42" s="23" t="n"/>
      <c r="I42" s="23" t="n"/>
      <c r="J42" s="23" t="n"/>
      <c r="K42" s="24" t="n"/>
      <c r="L42" s="23" t="n"/>
      <c r="M42" s="23" t="n"/>
      <c r="N42" s="23" t="n"/>
      <c r="O42" s="25">
        <f>IF(OR(D42="Khác hẳn mô tả",D42="Không làm được / bị kẹt",H42="Khác hẳn mô tả",H42="Không làm được / bị kẹt",L42="Khác hẳn mô tả",L42="Không làm được / bị kẹt"),"⚠","")</f>
        <v/>
      </c>
    </row>
    <row r="43" ht="30" customHeight="1">
      <c r="A43" s="7" t="n">
        <v>31</v>
      </c>
      <c r="B43" s="7" t="inlineStr">
        <is>
          <t>Đọc báo cáo như một phụ huynh thật: bạn có hiểu con mình đang học thế nào không?</t>
        </is>
      </c>
      <c r="C43" s="7" t="inlineStr">
        <is>
          <t>Hãy viết cảm nhận thật vào ghi chú — chỗ nào khó hiểu, thiếu thông tin gì, muốn thấy thêm gì.</t>
        </is>
      </c>
      <c r="D43" s="23" t="n"/>
      <c r="E43" s="23" t="n"/>
      <c r="F43" s="23" t="n"/>
      <c r="G43" s="24" t="n"/>
      <c r="H43" s="23" t="n"/>
      <c r="I43" s="23" t="n"/>
      <c r="J43" s="23" t="n"/>
      <c r="K43" s="24" t="n"/>
      <c r="L43" s="23" t="n"/>
      <c r="M43" s="23" t="n"/>
      <c r="N43" s="23" t="n"/>
      <c r="O43" s="25">
        <f>IF(OR(D43="Khác hẳn mô tả",D43="Không làm được / bị kẹt",H43="Khác hẳn mô tả",H43="Không làm được / bị kẹt",L43="Khác hẳn mô tả",L43="Không làm được / bị kẹt"),"⚠","")</f>
        <v/>
      </c>
    </row>
    <row r="45" ht="22" customHeight="1">
      <c r="A45" s="3" t="inlineStr">
        <is>
          <t>NHẬT KÝ TỰ DO — ghi bất cứ điều gì xảy ra ngoài các chặng ở trên</t>
        </is>
      </c>
    </row>
    <row r="46">
      <c r="A46" s="30" t="inlineStr">
        <is>
          <t>Vòng</t>
        </is>
      </c>
      <c r="B46" s="30" t="inlineStr">
        <is>
          <t>Màn hình nào</t>
        </is>
      </c>
      <c r="C46" s="30" t="inlineStr">
        <is>
          <t>Chuyện gì xảy ra</t>
        </is>
      </c>
      <c r="E46" s="30" t="inlineStr">
        <is>
          <t>Nặng hay nhẹ</t>
        </is>
      </c>
      <c r="F46" s="30" t="inlineStr">
        <is>
          <t>Bạn mong nó phải thế nào</t>
        </is>
      </c>
    </row>
    <row r="47" ht="26" customHeight="1">
      <c r="A47" s="23" t="n"/>
      <c r="B47" s="23" t="n"/>
      <c r="C47" s="23" t="n"/>
      <c r="E47" s="23" t="n"/>
      <c r="F47" s="23" t="n"/>
    </row>
    <row r="48" ht="26" customHeight="1">
      <c r="A48" s="23" t="n"/>
      <c r="B48" s="23" t="n"/>
      <c r="C48" s="23" t="n"/>
      <c r="E48" s="23" t="n"/>
      <c r="F48" s="23" t="n"/>
    </row>
    <row r="49" ht="26" customHeight="1">
      <c r="A49" s="23" t="n"/>
      <c r="B49" s="23" t="n"/>
      <c r="C49" s="23" t="n"/>
      <c r="E49" s="23" t="n"/>
      <c r="F49" s="23" t="n"/>
    </row>
    <row r="50" ht="26" customHeight="1">
      <c r="A50" s="23" t="n"/>
      <c r="B50" s="23" t="n"/>
      <c r="C50" s="23" t="n"/>
      <c r="E50" s="23" t="n"/>
      <c r="F50" s="23" t="n"/>
    </row>
    <row r="51" ht="26" customHeight="1">
      <c r="A51" s="23" t="n"/>
      <c r="B51" s="23" t="n"/>
      <c r="C51" s="23" t="n"/>
      <c r="E51" s="23" t="n"/>
      <c r="F51" s="23" t="n"/>
    </row>
    <row r="52" ht="26" customHeight="1">
      <c r="A52" s="23" t="n"/>
      <c r="B52" s="23" t="n"/>
      <c r="C52" s="23" t="n"/>
      <c r="E52" s="23" t="n"/>
      <c r="F52" s="23" t="n"/>
    </row>
    <row r="53" ht="26" customHeight="1">
      <c r="A53" s="23" t="n"/>
      <c r="B53" s="23" t="n"/>
      <c r="C53" s="23" t="n"/>
      <c r="E53" s="23" t="n"/>
      <c r="F53" s="23" t="n"/>
    </row>
    <row r="54" ht="26" customHeight="1">
      <c r="A54" s="23" t="n"/>
      <c r="B54" s="23" t="n"/>
      <c r="C54" s="23" t="n"/>
      <c r="E54" s="23" t="n"/>
      <c r="F54" s="23" t="n"/>
    </row>
    <row r="55" ht="26" customHeight="1">
      <c r="A55" s="23" t="n"/>
      <c r="B55" s="23" t="n"/>
      <c r="C55" s="23" t="n"/>
      <c r="E55" s="23" t="n"/>
      <c r="F55" s="23" t="n"/>
    </row>
    <row r="56" ht="26" customHeight="1">
      <c r="A56" s="23" t="n"/>
      <c r="B56" s="23" t="n"/>
      <c r="C56" s="23" t="n"/>
      <c r="E56" s="23" t="n"/>
      <c r="F56" s="23" t="n"/>
    </row>
    <row r="57" ht="26" customHeight="1">
      <c r="A57" s="23" t="n"/>
      <c r="B57" s="23" t="n"/>
      <c r="C57" s="23" t="n"/>
      <c r="E57" s="23" t="n"/>
      <c r="F57" s="23" t="n"/>
    </row>
    <row r="58" ht="26" customHeight="1">
      <c r="A58" s="23" t="n"/>
      <c r="B58" s="23" t="n"/>
      <c r="C58" s="23" t="n"/>
      <c r="E58" s="23" t="n"/>
      <c r="F58" s="23" t="n"/>
    </row>
    <row r="60" ht="22" customHeight="1">
      <c r="A60" s="3" t="inlineStr">
        <is>
          <t>CÂU HỎI CUỐI — trả lời sau khi đã thử hết</t>
        </is>
      </c>
    </row>
    <row r="61" ht="42" customHeight="1">
      <c r="A61" s="7" t="inlineStr">
        <is>
          <t>1. Sau khi dùng thử, bạn mô tả app này cho một đồng nghiệp chưa biết gì bằng 2–3 câu như thế nào?</t>
        </is>
      </c>
      <c r="D61" s="23" t="n"/>
    </row>
    <row r="62" ht="42" customHeight="1">
      <c r="A62" s="7" t="inlineStr">
        <is>
          <t>2. Với vai GIÁO VIÊN CHỦ NHIỆM: việc nào bạn làm hằng ngày mà app đang bắt bấm quá nhiều bước?</t>
        </is>
      </c>
      <c r="D62" s="23" t="n"/>
    </row>
    <row r="63" ht="42" customHeight="1">
      <c r="A63" s="7" t="inlineStr">
        <is>
          <t>3. Với vai GIÁO VIÊN CHỦ NHIỆM: phần đặt mục tiêu (WIG) có khớp với cách bạn thật sự nghĩ về mục tiêu lớp không? Chỗ nào lệch?</t>
        </is>
      </c>
      <c r="D63" s="23" t="n"/>
    </row>
    <row r="64" ht="42" customHeight="1">
      <c r="A64" s="7" t="inlineStr">
        <is>
          <t>4. Với vai HỌC SINH: nếu bạn là em lớp 7, mở app lần đầu, bạn có biết mình phải làm gì không?</t>
        </is>
      </c>
      <c r="D64" s="23" t="n"/>
    </row>
    <row r="65" ht="42" customHeight="1">
      <c r="A65" s="7" t="inlineStr">
        <is>
          <t>5. Với vai PHỤ HUYNH: báo cáo có đủ để bạn yên tâm về con không? Thiếu gì?</t>
        </is>
      </c>
      <c r="D65" s="23" t="n"/>
    </row>
    <row r="66" ht="42" customHeight="1">
      <c r="A66" s="7" t="inlineStr">
        <is>
          <t>6. Chữ nghĩa trong app có chỗ nào khó hiểu, dùng từ lạ, hoặc bạn phải đoán nghĩa không? Liệt kê giúp.</t>
        </is>
      </c>
      <c r="D66" s="23" t="n"/>
    </row>
    <row r="67" ht="42" customHeight="1">
      <c r="A67" s="7" t="inlineStr">
        <is>
          <t>7. Trên điện thoại, chỗ nào khó dùng nhất?</t>
        </is>
      </c>
      <c r="D67" s="23" t="n"/>
    </row>
    <row r="68" ht="42" customHeight="1">
      <c r="A68" s="6" t="inlineStr">
        <is>
          <t>8. NẾU CHỈ ĐƯỢC SỬA MỘT THỨ trước khi dùng thật cho cả trường — bạn sửa gì? Vì sao?</t>
        </is>
      </c>
      <c r="D68" s="23" t="n"/>
    </row>
  </sheetData>
  <mergeCells count="99">
    <mergeCell ref="F46:O46"/>
    <mergeCell ref="E57"/>
    <mergeCell ref="A52"/>
    <mergeCell ref="D66:O66"/>
    <mergeCell ref="C54:D54"/>
    <mergeCell ref="E58"/>
    <mergeCell ref="C50:D50"/>
    <mergeCell ref="B54"/>
    <mergeCell ref="B46"/>
    <mergeCell ref="C56:D56"/>
    <mergeCell ref="A38:O38"/>
    <mergeCell ref="B56"/>
    <mergeCell ref="A63:C63"/>
    <mergeCell ref="B48"/>
    <mergeCell ref="A31:O31"/>
    <mergeCell ref="F51:O51"/>
    <mergeCell ref="B8"/>
    <mergeCell ref="A50"/>
    <mergeCell ref="D63:O63"/>
    <mergeCell ref="F50:O50"/>
    <mergeCell ref="A60:O60"/>
    <mergeCell ref="A55"/>
    <mergeCell ref="E46"/>
    <mergeCell ref="K8"/>
    <mergeCell ref="D65:O65"/>
    <mergeCell ref="A66:C66"/>
    <mergeCell ref="L8:N8"/>
    <mergeCell ref="E54"/>
    <mergeCell ref="A58"/>
    <mergeCell ref="E47"/>
    <mergeCell ref="F49:O49"/>
    <mergeCell ref="A2:O2"/>
    <mergeCell ref="C47:D47"/>
    <mergeCell ref="E56"/>
    <mergeCell ref="B47"/>
    <mergeCell ref="A51"/>
    <mergeCell ref="D68:O68"/>
    <mergeCell ref="G8"/>
    <mergeCell ref="D67:O67"/>
    <mergeCell ref="D5:O5"/>
    <mergeCell ref="A67:C67"/>
    <mergeCell ref="F55:O55"/>
    <mergeCell ref="C57:D57"/>
    <mergeCell ref="E49"/>
    <mergeCell ref="C53:D53"/>
    <mergeCell ref="A47"/>
    <mergeCell ref="B49"/>
    <mergeCell ref="F58:O58"/>
    <mergeCell ref="C58:D58"/>
    <mergeCell ref="F52:O52"/>
    <mergeCell ref="B51"/>
    <mergeCell ref="B50"/>
    <mergeCell ref="F57:O57"/>
    <mergeCell ref="A48"/>
    <mergeCell ref="F53:O53"/>
    <mergeCell ref="A62:C62"/>
    <mergeCell ref="D8:F8"/>
    <mergeCell ref="C46:D46"/>
    <mergeCell ref="A10:O10"/>
    <mergeCell ref="C51:D51"/>
    <mergeCell ref="H8:J8"/>
    <mergeCell ref="E51"/>
    <mergeCell ref="A54"/>
    <mergeCell ref="C48:D48"/>
    <mergeCell ref="A64:C64"/>
    <mergeCell ref="A56"/>
    <mergeCell ref="A61:C61"/>
    <mergeCell ref="A1:O1"/>
    <mergeCell ref="A45:O45"/>
    <mergeCell ref="C49:D49"/>
    <mergeCell ref="D6:O6"/>
    <mergeCell ref="A8"/>
    <mergeCell ref="C8"/>
    <mergeCell ref="A53"/>
    <mergeCell ref="F56:O56"/>
    <mergeCell ref="B55"/>
    <mergeCell ref="D61:O61"/>
    <mergeCell ref="F48:O48"/>
    <mergeCell ref="E53"/>
    <mergeCell ref="E50"/>
    <mergeCell ref="C55:D55"/>
    <mergeCell ref="D4:O4"/>
    <mergeCell ref="A49"/>
    <mergeCell ref="D62:O62"/>
    <mergeCell ref="E55"/>
    <mergeCell ref="E52"/>
    <mergeCell ref="F54:O54"/>
    <mergeCell ref="A68:C68"/>
    <mergeCell ref="E48"/>
    <mergeCell ref="B58"/>
    <mergeCell ref="D64:O64"/>
    <mergeCell ref="B52"/>
    <mergeCell ref="C52:D52"/>
    <mergeCell ref="A46"/>
    <mergeCell ref="B57"/>
    <mergeCell ref="B53"/>
    <mergeCell ref="A57"/>
    <mergeCell ref="F47:O47"/>
    <mergeCell ref="A65:C65"/>
  </mergeCells>
  <dataValidations count="9">
    <dataValidation sqref="D11:D43" showDropDown="0" showInputMessage="0" showErrorMessage="0" allowBlank="1" type="list">
      <formula1>DS!$A$2:$A$6</formula1>
    </dataValidation>
    <dataValidation sqref="E11:E43" showDropDown="0" showInputMessage="0" showErrorMessage="0" allowBlank="1" type="list">
      <formula1>DS!$B$2:$B$6</formula1>
    </dataValidation>
    <dataValidation sqref="H11:H43" showDropDown="0" showInputMessage="0" showErrorMessage="0" allowBlank="1" type="list">
      <formula1>DS!$A$2:$A$6</formula1>
    </dataValidation>
    <dataValidation sqref="I11:I43" showDropDown="0" showInputMessage="0" showErrorMessage="0" allowBlank="1" type="list">
      <formula1>DS!$B$2:$B$6</formula1>
    </dataValidation>
    <dataValidation sqref="L11:L43" showDropDown="0" showInputMessage="0" showErrorMessage="0" allowBlank="1" type="list">
      <formula1>DS!$A$2:$A$6</formula1>
    </dataValidation>
    <dataValidation sqref="M11:M43" showDropDown="0" showInputMessage="0" showErrorMessage="0" allowBlank="1" type="list">
      <formula1>DS!$B$2:$B$6</formula1>
    </dataValidation>
    <dataValidation sqref="G11:G43" showDropDown="0" showInputMessage="0" showErrorMessage="0" allowBlank="1" type="list">
      <formula1>DS!$C$2:$C$5</formula1>
    </dataValidation>
    <dataValidation sqref="K11:K43" showDropDown="0" showInputMessage="0" showErrorMessage="0" allowBlank="1" type="list">
      <formula1>DS!$C$2:$C$5</formula1>
    </dataValidation>
    <dataValidation sqref="E47:E58" showDropDown="0" showInputMessage="0" showErrorMessage="0" allowBlank="1" type="list">
      <formula1>DS!$D$2:$D$4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2"/>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52" customWidth="1" min="3" max="3"/>
    <col width="16" customWidth="1" min="4" max="4"/>
    <col width="8" customWidth="1" min="5" max="5"/>
    <col width="34" customWidth="1" min="6" max="6"/>
    <col width="12" customWidth="1" min="7" max="7"/>
    <col width="16" customWidth="1" min="8" max="8"/>
    <col width="8" customWidth="1" min="9" max="9"/>
    <col width="34" customWidth="1" min="10" max="10"/>
    <col width="12" customWidth="1" min="11" max="11"/>
    <col width="16" customWidth="1" min="12" max="12"/>
    <col width="8" customWidth="1" min="13" max="13"/>
    <col width="34" customWidth="1" min="14" max="14"/>
    <col width="5" customWidth="1" min="15" max="15"/>
  </cols>
  <sheetData>
    <row r="1" ht="30" customHeight="1">
      <c r="A1" s="1" t="inlineStr">
        <is>
          <t>N2 · Ban giám hiệu — vai chính: Ban giám hiệu</t>
        </is>
      </c>
    </row>
    <row r="2" ht="20" customHeight="1">
      <c r="A2" s="2" t="inlineStr">
        <is>
          <t>Bạn đóng vai ban giám hiệu phụ trách cơ sở Việt Anh Quận 2. Vai này nhìn app ở tầm toàn cơ sở chứ không phải một lớp. Sau đó bạn đổi sang vai học sinh thường (không phải tổ trưởng) và phụ huynh.</t>
        </is>
      </c>
    </row>
    <row r="4">
      <c r="A4" s="12" t="inlineStr">
        <is>
          <t>▸</t>
        </is>
      </c>
      <c r="B4" s="12" t="inlineStr">
        <is>
          <t>Ban giám hiệu</t>
        </is>
      </c>
      <c r="C4" s="13" t="inlineStr">
        <is>
          <t>test2.bgh@truongvietanh.com</t>
        </is>
      </c>
      <c r="D4" s="14" t="inlineStr">
        <is>
          <t>Phụ trách cơ sở Việt Anh Quận 2</t>
        </is>
      </c>
    </row>
    <row r="5">
      <c r="A5" s="12" t="inlineStr">
        <is>
          <t>▸</t>
        </is>
      </c>
      <c r="B5" s="12" t="inlineStr">
        <is>
          <t>Học sinh (thường)</t>
        </is>
      </c>
      <c r="C5" s="13" t="inlineStr">
        <is>
          <t>test2.hs@student.truongvietanh.com</t>
        </is>
      </c>
      <c r="D5" s="14" t="inlineStr">
        <is>
          <t>Học lớp 7B1 · KHÔNG phải tổ trưởng</t>
        </is>
      </c>
    </row>
    <row r="6">
      <c r="A6" s="12" t="inlineStr">
        <is>
          <t>▸</t>
        </is>
      </c>
      <c r="B6" s="12" t="inlineStr">
        <is>
          <t>Phụ huynh</t>
        </is>
      </c>
      <c r="C6" s="13" t="inlineStr">
        <is>
          <t>test2.ph@truongvietanh.com</t>
        </is>
      </c>
      <c r="D6" s="14" t="inlineStr">
        <is>
          <t>Là phụ huynh của chính học sinh ở trên</t>
        </is>
      </c>
    </row>
    <row r="8" ht="18" customHeight="1">
      <c r="A8" s="15" t="n"/>
      <c r="B8" s="15" t="n"/>
      <c r="C8" s="15" t="n"/>
      <c r="D8" s="16" t="inlineStr">
        <is>
          <t>VÒNG THỬ 1</t>
        </is>
      </c>
      <c r="G8" s="17" t="inlineStr">
        <is>
          <t>GIỮA VÒNG</t>
        </is>
      </c>
      <c r="H8" s="16" t="inlineStr">
        <is>
          <t>VÒNG THỬ 2</t>
        </is>
      </c>
      <c r="K8" s="17" t="inlineStr">
        <is>
          <t>GIỮA VÒNG</t>
        </is>
      </c>
      <c r="L8" s="16" t="inlineStr">
        <is>
          <t>VÒNG THỬ 3</t>
        </is>
      </c>
    </row>
    <row r="9" ht="32" customHeight="1">
      <c r="A9" s="18" t="inlineStr">
        <is>
          <t>#</t>
        </is>
      </c>
      <c r="B9" s="18" t="inlineStr">
        <is>
          <t>BẠN LÀM GÌ</t>
        </is>
      </c>
      <c r="C9" s="18" t="inlineStr">
        <is>
          <t>BẠN SẼ THẤY GÌ</t>
        </is>
      </c>
      <c r="D9" s="19" t="inlineStr">
        <is>
          <t>Đúng như mô tả?</t>
        </is>
      </c>
      <c r="E9" s="19" t="inlineStr">
        <is>
          <t>Dễ dùng 1–5</t>
        </is>
      </c>
      <c r="F9" s="19" t="inlineStr">
        <is>
          <t>GHI CHÚ — viết thoải mái</t>
        </is>
      </c>
      <c r="G9" s="20" t="inlineStr">
        <is>
          <t>Đã sửa?</t>
        </is>
      </c>
      <c r="H9" s="19" t="inlineStr">
        <is>
          <t>Đúng như mô tả?</t>
        </is>
      </c>
      <c r="I9" s="19" t="inlineStr">
        <is>
          <t>Dễ dùng 1–5</t>
        </is>
      </c>
      <c r="J9" s="19" t="inlineStr">
        <is>
          <t>GHI CHÚ — viết thoải mái</t>
        </is>
      </c>
      <c r="K9" s="20" t="inlineStr">
        <is>
          <t>Đã sửa?</t>
        </is>
      </c>
      <c r="L9" s="19" t="inlineStr">
        <is>
          <t>Đúng như mô tả?</t>
        </is>
      </c>
      <c r="M9" s="19" t="inlineStr">
        <is>
          <t>Dễ dùng 1–5</t>
        </is>
      </c>
      <c r="N9" s="19" t="inlineStr">
        <is>
          <t>GHI CHÚ — viết thoải mái</t>
        </is>
      </c>
      <c r="O9" s="21" t="inlineStr">
        <is>
          <t>⚠</t>
        </is>
      </c>
    </row>
    <row r="10" ht="26" customHeight="1">
      <c r="A10" s="22" t="inlineStr">
        <is>
          <t>◆  VAI: BAN GIÁM HIỆU — cơ sở Việt Anh Quận 2        —        Nút demo: “N2 · Ban giám hiệu Quận 2”        —        Vai chính của bạn. Bạn nhìn app ở tầm cả cơ sở, không phải một lớp.</t>
        </is>
      </c>
    </row>
    <row r="11" ht="30" customHeight="1">
      <c r="A11" s="7" t="n">
        <v>1</v>
      </c>
      <c r="B11" s="7" t="inlineStr">
        <is>
          <t>Mở https://class.vietanh.org, bấm nút demo “N2 · Ban giám hiệu Quận 2”.</t>
        </is>
      </c>
      <c r="C11" s="7" t="inlineStr">
        <is>
          <t>Vào thẳng. Góc phải ghi “Ban giám hiệu”.</t>
        </is>
      </c>
      <c r="D11" s="23" t="n"/>
      <c r="E11" s="23" t="n"/>
      <c r="F11" s="23" t="n"/>
      <c r="G11" s="24" t="n"/>
      <c r="H11" s="23" t="n"/>
      <c r="I11" s="23" t="n"/>
      <c r="J11" s="23" t="n"/>
      <c r="K11" s="24" t="n"/>
      <c r="L11" s="23" t="n"/>
      <c r="M11" s="23" t="n"/>
      <c r="N11" s="23" t="n"/>
      <c r="O11" s="25">
        <f>IF(OR(D11="Khác hẳn mô tả",D11="Không làm được / bị kẹt",H11="Khác hẳn mô tả",H11="Không làm được / bị kẹt",L11="Khác hẳn mô tả",L11="Không làm được / bị kẹt"),"⚠","")</f>
        <v/>
      </c>
    </row>
    <row r="12" ht="39" customHeight="1">
      <c r="A12" s="7" t="n">
        <v>2</v>
      </c>
      <c r="B12" s="7" t="inlineStr">
        <is>
          <t>Đọc các mục trên thanh menu và ghi lại.</t>
        </is>
      </c>
      <c r="C12" s="7" t="inlineStr">
        <is>
          <t>Có 3 mục: Cơ sở · Danh sách · Thời khoá biểu. Ít hơn giáo viên. Bạn thấy như vậy có hợp lý với công việc của ban giám hiệu không?</t>
        </is>
      </c>
      <c r="D12" s="23" t="n"/>
      <c r="E12" s="23" t="n"/>
      <c r="F12" s="23" t="n"/>
      <c r="G12" s="24" t="n"/>
      <c r="H12" s="23" t="n"/>
      <c r="I12" s="23" t="n"/>
      <c r="J12" s="23" t="n"/>
      <c r="K12" s="24" t="n"/>
      <c r="L12" s="23" t="n"/>
      <c r="M12" s="23" t="n"/>
      <c r="N12" s="23" t="n"/>
      <c r="O12" s="25">
        <f>IF(OR(D12="Khác hẳn mô tả",D12="Không làm được / bị kẹt",H12="Khác hẳn mô tả",H12="Không làm được / bị kẹt",L12="Khác hẳn mô tả",L12="Không làm được / bị kẹt"),"⚠","")</f>
        <v/>
      </c>
    </row>
    <row r="13" ht="52" customHeight="1">
      <c r="A13" s="7" t="n">
        <v>3</v>
      </c>
      <c r="B13" s="7" t="inlineStr">
        <is>
          <t>Mở “Cơ sở”.</t>
        </is>
      </c>
      <c r="C13" s="7" t="inlineStr">
        <is>
          <t>Tiêu đề “Báo cáo cơ sở”. Một bảng gom theo khối: dòng khối in đậm, dưới đó là các lớp, cuối bảng là dòng “Toàn trường”. Các cột: Lớp · Sĩ số · Điểm thi đua · Điểm danh hôm nay.</t>
        </is>
      </c>
      <c r="D13" s="23" t="n"/>
      <c r="E13" s="23" t="n"/>
      <c r="F13" s="23" t="n"/>
      <c r="G13" s="24" t="n"/>
      <c r="H13" s="23" t="n"/>
      <c r="I13" s="23" t="n"/>
      <c r="J13" s="23" t="n"/>
      <c r="K13" s="24" t="n"/>
      <c r="L13" s="23" t="n"/>
      <c r="M13" s="23" t="n"/>
      <c r="N13" s="23" t="n"/>
      <c r="O13" s="25">
        <f>IF(OR(D13="Khác hẳn mô tả",D13="Không làm được / bị kẹt",H13="Khác hẳn mô tả",H13="Không làm được / bị kẹt",L13="Khác hẳn mô tả",L13="Không làm được / bị kẹt"),"⚠","")</f>
        <v/>
      </c>
    </row>
    <row r="14" ht="52" customHeight="1">
      <c r="A14" s="7" t="n">
        <v>4</v>
      </c>
      <c r="B14" s="7" t="inlineStr">
        <is>
          <t>ĐẾM xem bảng liệt kê bao nhiêu lớp. Ghi con số và TÊN từng lớp vào ghi chú.</t>
        </is>
      </c>
      <c r="C14" s="7" t="inlineStr">
        <is>
          <t>Phải chỉ thấy lớp của cơ sở Quận 2 (lớp 7B1). Nếu thấy 6A1 hoặc 6A2 — đó là lớp cơ sở Gò Vấp, bạn KHÔNG được thấy. Thấy là dừng đợt thử và báo ngay.</t>
        </is>
      </c>
      <c r="D14" s="23" t="n"/>
      <c r="E14" s="23" t="n"/>
      <c r="F14" s="23" t="n"/>
      <c r="G14" s="24" t="n"/>
      <c r="H14" s="23" t="n"/>
      <c r="I14" s="23" t="n"/>
      <c r="J14" s="23" t="n"/>
      <c r="K14" s="24" t="n"/>
      <c r="L14" s="23" t="n"/>
      <c r="M14" s="23" t="n"/>
      <c r="N14" s="23" t="n"/>
      <c r="O14" s="25">
        <f>IF(OR(D14="Khác hẳn mô tả",D14="Không làm được / bị kẹt",H14="Khác hẳn mô tả",H14="Không làm được / bị kẹt",L14="Khác hẳn mô tả",L14="Không làm được / bị kẹt"),"⚠","")</f>
        <v/>
      </c>
    </row>
    <row r="15" ht="39" customHeight="1">
      <c r="A15" s="7" t="n">
        <v>5</v>
      </c>
      <c r="B15" s="7" t="inlineStr">
        <is>
          <t>Nhìn dòng “Toàn trường” cuối bảng.</t>
        </is>
      </c>
      <c r="C15" s="7" t="inlineStr">
        <is>
          <t>Cột sĩ số là tổng số học sinh các lớp bạn quản. Cột điểm là điểm trung bình các lớp, không phải tổng.</t>
        </is>
      </c>
      <c r="D15" s="23" t="n"/>
      <c r="E15" s="23" t="n"/>
      <c r="F15" s="23" t="n"/>
      <c r="G15" s="24" t="n"/>
      <c r="H15" s="23" t="n"/>
      <c r="I15" s="23" t="n"/>
      <c r="J15" s="23" t="n"/>
      <c r="K15" s="24" t="n"/>
      <c r="L15" s="23" t="n"/>
      <c r="M15" s="23" t="n"/>
      <c r="N15" s="23" t="n"/>
      <c r="O15" s="25">
        <f>IF(OR(D15="Khác hẳn mô tả",D15="Không làm được / bị kẹt",H15="Khác hẳn mô tả",H15="Không làm được / bị kẹt",L15="Khác hẳn mô tả",L15="Không làm được / bị kẹt"),"⚠","")</f>
        <v/>
      </c>
    </row>
    <row r="16" ht="39" customHeight="1">
      <c r="A16" s="7" t="n">
        <v>6</v>
      </c>
      <c r="B16" s="7" t="inlineStr">
        <is>
          <t>Kéo xuống phần “Quản lý giáo viên”.</t>
        </is>
      </c>
      <c r="C16" s="7" t="inlineStr">
        <is>
          <t>Có ô điền email và nút “Mời giáo viên”. Bên dưới là danh sách giáo viên trong cơ sở bạn, mỗi người có nút “Vô hiệu”.</t>
        </is>
      </c>
      <c r="D16" s="23" t="n"/>
      <c r="E16" s="23" t="n"/>
      <c r="F16" s="23" t="n"/>
      <c r="G16" s="24" t="n"/>
      <c r="H16" s="23" t="n"/>
      <c r="I16" s="23" t="n"/>
      <c r="J16" s="23" t="n"/>
      <c r="K16" s="24" t="n"/>
      <c r="L16" s="23" t="n"/>
      <c r="M16" s="23" t="n"/>
      <c r="N16" s="23" t="n"/>
      <c r="O16" s="25">
        <f>IF(OR(D16="Khác hẳn mô tả",D16="Không làm được / bị kẹt",H16="Khác hẳn mô tả",H16="Không làm được / bị kẹt",L16="Khác hẳn mô tả",L16="Không làm được / bị kẹt"),"⚠","")</f>
        <v/>
      </c>
    </row>
    <row r="17" ht="30" customHeight="1">
      <c r="A17" s="26" t="n">
        <v>7</v>
      </c>
      <c r="B17" s="27" t="inlineStr">
        <is>
          <t>⚠ CỐ TÌNH LÀM SAI — Gõ một chuỗi không phải email (ví dụ: abcxyz) vào ô mời giáo viên rồi bấm “Mời giáo viên”.</t>
        </is>
      </c>
      <c r="C17" s="26" t="inlineStr">
        <is>
          <t>App phải chặn và nói rõ email không hợp lệ, không được im lặng hay báo thành công giả.</t>
        </is>
      </c>
      <c r="D17" s="23" t="n"/>
      <c r="E17" s="23" t="n"/>
      <c r="F17" s="23" t="n"/>
      <c r="G17" s="24" t="n"/>
      <c r="H17" s="23" t="n"/>
      <c r="I17" s="23" t="n"/>
      <c r="J17" s="23" t="n"/>
      <c r="K17" s="24" t="n"/>
      <c r="L17" s="23" t="n"/>
      <c r="M17" s="23" t="n"/>
      <c r="N17" s="23" t="n"/>
      <c r="O17" s="25">
        <f>IF(OR(D17="Khác hẳn mô tả",D17="Không làm được / bị kẹt",H17="Khác hẳn mô tả",H17="Không làm được / bị kẹt",L17="Khác hẳn mô tả",L17="Không làm được / bị kẹt"),"⚠","")</f>
        <v/>
      </c>
    </row>
    <row r="18" ht="39" customHeight="1">
      <c r="A18" s="7" t="n">
        <v>8</v>
      </c>
      <c r="B18" s="7" t="inlineStr">
        <is>
          <t>Mời thử một email hợp lệ, ví dụ giaovien.moi@truongvietanh.com.</t>
        </is>
      </c>
      <c r="C18" s="7" t="inlineStr">
        <is>
          <t>Xuất hiện khối “Lời mời chưa dùng” với email vừa mời, kèm nút huỷ. App có nói cho bạn biết chuyện gì xảy ra tiếp theo không?</t>
        </is>
      </c>
      <c r="D18" s="23" t="n"/>
      <c r="E18" s="23" t="n"/>
      <c r="F18" s="23" t="n"/>
      <c r="G18" s="24" t="n"/>
      <c r="H18" s="23" t="n"/>
      <c r="I18" s="23" t="n"/>
      <c r="J18" s="23" t="n"/>
      <c r="K18" s="24" t="n"/>
      <c r="L18" s="23" t="n"/>
      <c r="M18" s="23" t="n"/>
      <c r="N18" s="23" t="n"/>
      <c r="O18" s="25">
        <f>IF(OR(D18="Khác hẳn mô tả",D18="Không làm được / bị kẹt",H18="Khác hẳn mô tả",H18="Không làm được / bị kẹt",L18="Khác hẳn mô tả",L18="Không làm được / bị kẹt"),"⚠","")</f>
        <v/>
      </c>
    </row>
    <row r="19" ht="30" customHeight="1">
      <c r="A19" s="7" t="n">
        <v>9</v>
      </c>
      <c r="B19" s="7" t="inlineStr">
        <is>
          <t>Bấm huỷ lời mời vừa tạo.</t>
        </is>
      </c>
      <c r="C19" s="7" t="inlineStr">
        <is>
          <t>Email đó biến khỏi danh sách lời mời.</t>
        </is>
      </c>
      <c r="D19" s="23" t="n"/>
      <c r="E19" s="23" t="n"/>
      <c r="F19" s="23" t="n"/>
      <c r="G19" s="24" t="n"/>
      <c r="H19" s="23" t="n"/>
      <c r="I19" s="23" t="n"/>
      <c r="J19" s="23" t="n"/>
      <c r="K19" s="24" t="n"/>
      <c r="L19" s="23" t="n"/>
      <c r="M19" s="23" t="n"/>
      <c r="N19" s="23" t="n"/>
      <c r="O19" s="25">
        <f>IF(OR(D19="Khác hẳn mô tả",D19="Không làm được / bị kẹt",H19="Khác hẳn mô tả",H19="Không làm được / bị kẹt",L19="Khác hẳn mô tả",L19="Không làm được / bị kẹt"),"⚠","")</f>
        <v/>
      </c>
    </row>
    <row r="20" ht="52" customHeight="1">
      <c r="A20" s="7" t="n">
        <v>10</v>
      </c>
      <c r="B20" s="7" t="inlineStr">
        <is>
          <t>Kéo xuống phần “Quản lý Khối”.</t>
        </is>
      </c>
      <c r="C20" s="7" t="inlineStr">
        <is>
          <t>Có ô chọn “Cấp học” và nút lưu, bên dưới là danh sách khối. Nếu cơ sở đã khai cấp học thì các khối hiện ra sẵn (Khối 6, 7, 8, 9) và KHÔNG có ô gõ tên khối bằng tay.</t>
        </is>
      </c>
      <c r="D20" s="23" t="n"/>
      <c r="E20" s="23" t="n"/>
      <c r="F20" s="23" t="n"/>
      <c r="G20" s="24" t="n"/>
      <c r="H20" s="23" t="n"/>
      <c r="I20" s="23" t="n"/>
      <c r="J20" s="23" t="n"/>
      <c r="K20" s="24" t="n"/>
      <c r="L20" s="23" t="n"/>
      <c r="M20" s="23" t="n"/>
      <c r="N20" s="23" t="n"/>
      <c r="O20" s="25">
        <f>IF(OR(D20="Khác hẳn mô tả",D20="Không làm được / bị kẹt",H20="Khác hẳn mô tả",H20="Không làm được / bị kẹt",L20="Khác hẳn mô tả",L20="Không làm được / bị kẹt"),"⚠","")</f>
        <v/>
      </c>
    </row>
    <row r="21" ht="39" customHeight="1">
      <c r="A21" s="7" t="n">
        <v>11</v>
      </c>
      <c r="B21" s="7" t="inlineStr">
        <is>
          <t>Kéo xuống phần “Tạo lớp”. Thử tạo một lớp mới tên 7B2.</t>
        </is>
      </c>
      <c r="C21" s="7" t="inlineStr">
        <is>
          <t>Form có các ô: tên lớp, năm học, cơ sở, khối, giáo viên chủ nhiệm. Lớp mới xuất hiện trong bảng ở trên.</t>
        </is>
      </c>
      <c r="D21" s="23" t="n"/>
      <c r="E21" s="23" t="n"/>
      <c r="F21" s="23" t="n"/>
      <c r="G21" s="24" t="n"/>
      <c r="H21" s="23" t="n"/>
      <c r="I21" s="23" t="n"/>
      <c r="J21" s="23" t="n"/>
      <c r="K21" s="24" t="n"/>
      <c r="L21" s="23" t="n"/>
      <c r="M21" s="23" t="n"/>
      <c r="N21" s="23" t="n"/>
      <c r="O21" s="25">
        <f>IF(OR(D21="Khác hẳn mô tả",D21="Không làm được / bị kẹt",H21="Khác hẳn mô tả",H21="Không làm được / bị kẹt",L21="Khác hẳn mô tả",L21="Không làm được / bị kẹt"),"⚠","")</f>
        <v/>
      </c>
    </row>
    <row r="22" ht="52" customHeight="1">
      <c r="A22" s="7" t="n">
        <v>12</v>
      </c>
      <c r="B22" s="7" t="inlineStr">
        <is>
          <t>Mở “Danh sách”.</t>
        </is>
      </c>
      <c r="C22" s="7" t="inlineStr">
        <is>
          <t>Tiêu đề “Danh sách lớp”. Bạn xem được danh sách học sinh, nhưng thử tìm xem có nút ghi danh hay xoá học sinh không — ban giám hiệu chỉ nên XEM. Ghi lại điều bạn thấy.</t>
        </is>
      </c>
      <c r="D22" s="23" t="n"/>
      <c r="E22" s="23" t="n"/>
      <c r="F22" s="23" t="n"/>
      <c r="G22" s="24" t="n"/>
      <c r="H22" s="23" t="n"/>
      <c r="I22" s="23" t="n"/>
      <c r="J22" s="23" t="n"/>
      <c r="K22" s="24" t="n"/>
      <c r="L22" s="23" t="n"/>
      <c r="M22" s="23" t="n"/>
      <c r="N22" s="23" t="n"/>
      <c r="O22" s="25">
        <f>IF(OR(D22="Khác hẳn mô tả",D22="Không làm được / bị kẹt",H22="Khác hẳn mô tả",H22="Không làm được / bị kẹt",L22="Khác hẳn mô tả",L22="Không làm được / bị kẹt"),"⚠","")</f>
        <v/>
      </c>
    </row>
    <row r="23" ht="30" customHeight="1">
      <c r="A23" s="7" t="n">
        <v>13</v>
      </c>
      <c r="B23" s="7" t="inlineStr">
        <is>
          <t>Mở “Thời khoá biểu”.</t>
        </is>
      </c>
      <c r="C23" s="7" t="inlineStr">
        <is>
          <t>Lưới thời khoá biểu của một lớp trong cơ sở bạn.</t>
        </is>
      </c>
      <c r="D23" s="23" t="n"/>
      <c r="E23" s="23" t="n"/>
      <c r="F23" s="23" t="n"/>
      <c r="G23" s="24" t="n"/>
      <c r="H23" s="23" t="n"/>
      <c r="I23" s="23" t="n"/>
      <c r="J23" s="23" t="n"/>
      <c r="K23" s="24" t="n"/>
      <c r="L23" s="23" t="n"/>
      <c r="M23" s="23" t="n"/>
      <c r="N23" s="23" t="n"/>
      <c r="O23" s="25">
        <f>IF(OR(D23="Khác hẳn mô tả",D23="Không làm được / bị kẹt",H23="Khác hẳn mô tả",H23="Không làm được / bị kẹt",L23="Khác hẳn mô tả",L23="Không làm được / bị kẹt"),"⚠","")</f>
        <v/>
      </c>
    </row>
    <row r="24" ht="39" customHeight="1">
      <c r="A24" s="7" t="n">
        <v>14</v>
      </c>
      <c r="B24" s="7" t="inlineStr">
        <is>
          <t>Quay lại “Cơ sở”, bấm vào một dòng lớp trong bảng.</t>
        </is>
      </c>
      <c r="C24" s="7" t="inlineStr">
        <is>
          <t>App mở chi tiết lớp đó. Đường đi này có tự nhiên với bạn không, hay bạn mong nó dẫn tới chỗ khác?</t>
        </is>
      </c>
      <c r="D24" s="23" t="n"/>
      <c r="E24" s="23" t="n"/>
      <c r="F24" s="23" t="n"/>
      <c r="G24" s="24" t="n"/>
      <c r="H24" s="23" t="n"/>
      <c r="I24" s="23" t="n"/>
      <c r="J24" s="23" t="n"/>
      <c r="K24" s="24" t="n"/>
      <c r="L24" s="23" t="n"/>
      <c r="M24" s="23" t="n"/>
      <c r="N24" s="23" t="n"/>
      <c r="O24" s="25">
        <f>IF(OR(D24="Khác hẳn mô tả",D24="Không làm được / bị kẹt",H24="Khác hẳn mô tả",H24="Không làm được / bị kẹt",L24="Khác hẳn mô tả",L24="Không làm được / bị kẹt"),"⚠","")</f>
        <v/>
      </c>
    </row>
    <row r="25" ht="30" customHeight="1">
      <c r="A25" s="28" t="n">
        <v>15</v>
      </c>
      <c r="B25" s="29" t="inlineStr">
        <is>
          <t>📱 TRÊN ĐIỆN THOẠI — Mở lại “Cơ sở” trên điện thoại.</t>
        </is>
      </c>
      <c r="C25" s="28" t="inlineStr">
        <is>
          <t>Bảng có nhiều cột nên chắc phải kéo ngang — kéo có mượt không, có đọc được không? Ghi cảm nhận.</t>
        </is>
      </c>
      <c r="D25" s="23" t="n"/>
      <c r="E25" s="23" t="n"/>
      <c r="F25" s="23" t="n"/>
      <c r="G25" s="24" t="n"/>
      <c r="H25" s="23" t="n"/>
      <c r="I25" s="23" t="n"/>
      <c r="J25" s="23" t="n"/>
      <c r="K25" s="24" t="n"/>
      <c r="L25" s="23" t="n"/>
      <c r="M25" s="23" t="n"/>
      <c r="N25" s="23" t="n"/>
      <c r="O25" s="25">
        <f>IF(OR(D25="Khác hẳn mô tả",D25="Không làm được / bị kẹt",H25="Khác hẳn mô tả",H25="Không làm được / bị kẹt",L25="Khác hẳn mô tả",L25="Không làm được / bị kẹt"),"⚠","")</f>
        <v/>
      </c>
    </row>
    <row r="26" ht="26" customHeight="1">
      <c r="A26" s="22" t="inlineStr">
        <is>
          <t>◆  VAI: HỌC SINH THƯỜNG lớp 7B1        —        Nút demo: “N2 · Học sinh 7B1”        —        Em này học CÙNG LỚP với học sinh của Người thử 1, nhưng KHÔNG phải tổ trưởng.</t>
        </is>
      </c>
    </row>
    <row r="27" ht="30" customHeight="1">
      <c r="A27" s="7" t="n">
        <v>16</v>
      </c>
      <c r="B27" s="7" t="inlineStr">
        <is>
          <t>Đăng xuất, đăng nhập bằng nút demo “N2 · Học sinh 7B1”.</t>
        </is>
      </c>
      <c r="C27" s="7" t="inlineStr">
        <is>
          <t>Góc phải ghi “Học sinh”.</t>
        </is>
      </c>
      <c r="D27" s="23" t="n"/>
      <c r="E27" s="23" t="n"/>
      <c r="F27" s="23" t="n"/>
      <c r="G27" s="24" t="n"/>
      <c r="H27" s="23" t="n"/>
      <c r="I27" s="23" t="n"/>
      <c r="J27" s="23" t="n"/>
      <c r="K27" s="24" t="n"/>
      <c r="L27" s="23" t="n"/>
      <c r="M27" s="23" t="n"/>
      <c r="N27" s="23" t="n"/>
      <c r="O27" s="25">
        <f>IF(OR(D27="Khác hẳn mô tả",D27="Không làm được / bị kẹt",H27="Khác hẳn mô tả",H27="Không làm được / bị kẹt",L27="Khác hẳn mô tả",L27="Không làm được / bị kẹt"),"⚠","")</f>
        <v/>
      </c>
    </row>
    <row r="28" ht="39" customHeight="1">
      <c r="A28" s="7" t="n">
        <v>17</v>
      </c>
      <c r="B28" s="7" t="inlineStr">
        <is>
          <t>Đếm các mục trên thanh menu, ghi lại.</t>
        </is>
      </c>
      <c r="C28" s="7" t="inlineStr">
        <is>
          <t>Chỉ có “Bảng điểm của tôi” và “Thời khoá biểu”. KHÔNG có mục “Điểm danh” — vì em này không phải tổ trưởng. Nếu thấy mục Điểm danh, báo ngay.</t>
        </is>
      </c>
      <c r="D28" s="23" t="n"/>
      <c r="E28" s="23" t="n"/>
      <c r="F28" s="23" t="n"/>
      <c r="G28" s="24" t="n"/>
      <c r="H28" s="23" t="n"/>
      <c r="I28" s="23" t="n"/>
      <c r="J28" s="23" t="n"/>
      <c r="K28" s="24" t="n"/>
      <c r="L28" s="23" t="n"/>
      <c r="M28" s="23" t="n"/>
      <c r="N28" s="23" t="n"/>
      <c r="O28" s="25">
        <f>IF(OR(D28="Khác hẳn mô tả",D28="Không làm được / bị kẹt",H28="Khác hẳn mô tả",H28="Không làm được / bị kẹt",L28="Khác hẳn mô tả",L28="Không làm được / bị kẹt"),"⚠","")</f>
        <v/>
      </c>
    </row>
    <row r="29" ht="30" customHeight="1">
      <c r="A29" s="7" t="n">
        <v>18</v>
      </c>
      <c r="B29" s="7" t="inlineStr">
        <is>
          <t>Mở “Bảng điểm của tôi”.</t>
        </is>
      </c>
      <c r="C29" s="7" t="inlineStr">
        <is>
          <t>Tiêu đề “Bảng thành tích của em”. Chỉ thành tích của riêng em này.</t>
        </is>
      </c>
      <c r="D29" s="23" t="n"/>
      <c r="E29" s="23" t="n"/>
      <c r="F29" s="23" t="n"/>
      <c r="G29" s="24" t="n"/>
      <c r="H29" s="23" t="n"/>
      <c r="I29" s="23" t="n"/>
      <c r="J29" s="23" t="n"/>
      <c r="K29" s="24" t="n"/>
      <c r="L29" s="23" t="n"/>
      <c r="M29" s="23" t="n"/>
      <c r="N29" s="23" t="n"/>
      <c r="O29" s="25">
        <f>IF(OR(D29="Khác hẳn mô tả",D29="Không làm được / bị kẹt",H29="Khác hẳn mô tả",H29="Không làm được / bị kẹt",L29="Khác hẳn mô tả",L29="Không làm được / bị kẹt"),"⚠","")</f>
        <v/>
      </c>
    </row>
    <row r="30" ht="30" customHeight="1">
      <c r="A30" s="7" t="n">
        <v>19</v>
      </c>
      <c r="B30" s="7" t="inlineStr">
        <is>
          <t>Tìm và tick một việc trong phần việc hằng ngày.</t>
        </is>
      </c>
      <c r="C30" s="7" t="inlineStr">
        <is>
          <t>Tick được, tiến độ đổi. Thử tick cho một ngày của tuần trước xem app có cho không, ghi lại.</t>
        </is>
      </c>
      <c r="D30" s="23" t="n"/>
      <c r="E30" s="23" t="n"/>
      <c r="F30" s="23" t="n"/>
      <c r="G30" s="24" t="n"/>
      <c r="H30" s="23" t="n"/>
      <c r="I30" s="23" t="n"/>
      <c r="J30" s="23" t="n"/>
      <c r="K30" s="24" t="n"/>
      <c r="L30" s="23" t="n"/>
      <c r="M30" s="23" t="n"/>
      <c r="N30" s="23" t="n"/>
      <c r="O30" s="25">
        <f>IF(OR(D30="Khác hẳn mô tả",D30="Không làm được / bị kẹt",H30="Khác hẳn mô tả",H30="Không làm được / bị kẹt",L30="Khác hẳn mô tả",L30="Không làm được / bị kẹt"),"⚠","")</f>
        <v/>
      </c>
    </row>
    <row r="31" ht="30" customHeight="1">
      <c r="A31" s="7" t="n">
        <v>20</v>
      </c>
      <c r="B31" s="7" t="inlineStr">
        <is>
          <t>Nhìn kỹ: có thấy tên hoặc điểm của bạn cùng lớp ở đâu không?</t>
        </is>
      </c>
      <c r="C31" s="7" t="inlineStr">
        <is>
          <t>KHÔNG được thấy. Thấy là báo ngay.</t>
        </is>
      </c>
      <c r="D31" s="23" t="n"/>
      <c r="E31" s="23" t="n"/>
      <c r="F31" s="23" t="n"/>
      <c r="G31" s="24" t="n"/>
      <c r="H31" s="23" t="n"/>
      <c r="I31" s="23" t="n"/>
      <c r="J31" s="23" t="n"/>
      <c r="K31" s="24" t="n"/>
      <c r="L31" s="23" t="n"/>
      <c r="M31" s="23" t="n"/>
      <c r="N31" s="23" t="n"/>
      <c r="O31" s="25">
        <f>IF(OR(D31="Khác hẳn mô tả",D31="Không làm được / bị kẹt",H31="Khác hẳn mô tả",H31="Không làm được / bị kẹt",L31="Khác hẳn mô tả",L31="Không làm được / bị kẹt"),"⚠","")</f>
        <v/>
      </c>
    </row>
    <row r="32" ht="26" customHeight="1">
      <c r="A32" s="22" t="inlineStr">
        <is>
          <t>◆  VAI: PHỤ HUYNH        —        Nút demo: “N2 · Phụ huynh”        —        Bạn là phụ huynh của em học sinh vừa rồi.</t>
        </is>
      </c>
    </row>
    <row r="33" ht="30" customHeight="1">
      <c r="A33" s="7" t="n">
        <v>21</v>
      </c>
      <c r="B33" s="7" t="inlineStr">
        <is>
          <t>Đăng xuất, đăng nhập bằng nút demo “N2 · Phụ huynh”.</t>
        </is>
      </c>
      <c r="C33" s="7" t="inlineStr">
        <is>
          <t>Góc phải ghi “Phụ huynh”, thanh menu chỉ còn mục “Báo cáo”.</t>
        </is>
      </c>
      <c r="D33" s="23" t="n"/>
      <c r="E33" s="23" t="n"/>
      <c r="F33" s="23" t="n"/>
      <c r="G33" s="24" t="n"/>
      <c r="H33" s="23" t="n"/>
      <c r="I33" s="23" t="n"/>
      <c r="J33" s="23" t="n"/>
      <c r="K33" s="24" t="n"/>
      <c r="L33" s="23" t="n"/>
      <c r="M33" s="23" t="n"/>
      <c r="N33" s="23" t="n"/>
      <c r="O33" s="25">
        <f>IF(OR(D33="Khác hẳn mô tả",D33="Không làm được / bị kẹt",H33="Khác hẳn mô tả",H33="Không làm được / bị kẹt",L33="Khác hẳn mô tả",L33="Không làm được / bị kẹt"),"⚠","")</f>
        <v/>
      </c>
    </row>
    <row r="34" ht="39" customHeight="1">
      <c r="A34" s="7" t="n">
        <v>22</v>
      </c>
      <c r="B34" s="7" t="inlineStr">
        <is>
          <t>Mở “Báo cáo”. ĐẾM xem có bao nhiêu học sinh được nhắc tới.</t>
        </is>
      </c>
      <c r="C34" s="7" t="inlineStr">
        <is>
          <t>Phải đúng 1 — con bạn. Con của Người thử 1 học CÙNG LỚP 7B1 nhưng bạn TUYỆT ĐỐI không được thấy. Thấy là dừng đợt thử và báo ngay.</t>
        </is>
      </c>
      <c r="D34" s="23" t="n"/>
      <c r="E34" s="23" t="n"/>
      <c r="F34" s="23" t="n"/>
      <c r="G34" s="24" t="n"/>
      <c r="H34" s="23" t="n"/>
      <c r="I34" s="23" t="n"/>
      <c r="J34" s="23" t="n"/>
      <c r="K34" s="24" t="n"/>
      <c r="L34" s="23" t="n"/>
      <c r="M34" s="23" t="n"/>
      <c r="N34" s="23" t="n"/>
      <c r="O34" s="25">
        <f>IF(OR(D34="Khác hẳn mô tả",D34="Không làm được / bị kẹt",H34="Khác hẳn mô tả",H34="Không làm được / bị kẹt",L34="Khác hẳn mô tả",L34="Không làm được / bị kẹt"),"⚠","")</f>
        <v/>
      </c>
    </row>
    <row r="35" ht="30" customHeight="1">
      <c r="A35" s="7" t="n">
        <v>23</v>
      </c>
      <c r="B35" s="7" t="inlineStr">
        <is>
          <t>Đọc kỹ báo cáo: nó cho bạn biết những gì về con?</t>
        </is>
      </c>
      <c r="C35" s="7" t="inlineStr">
        <is>
          <t>Ghi lại: thông tin nào hữu ích, thông tin nào thừa, còn thiếu thứ gì bạn muốn biết.</t>
        </is>
      </c>
      <c r="D35" s="23" t="n"/>
      <c r="E35" s="23" t="n"/>
      <c r="F35" s="23" t="n"/>
      <c r="G35" s="24" t="n"/>
      <c r="H35" s="23" t="n"/>
      <c r="I35" s="23" t="n"/>
      <c r="J35" s="23" t="n"/>
      <c r="K35" s="24" t="n"/>
      <c r="L35" s="23" t="n"/>
      <c r="M35" s="23" t="n"/>
      <c r="N35" s="23" t="n"/>
      <c r="O35" s="25">
        <f>IF(OR(D35="Khác hẳn mô tả",D35="Không làm được / bị kẹt",H35="Khác hẳn mô tả",H35="Không làm được / bị kẹt",L35="Khác hẳn mô tả",L35="Không làm được / bị kẹt"),"⚠","")</f>
        <v/>
      </c>
    </row>
    <row r="36" ht="39" customHeight="1">
      <c r="A36" s="26" t="n">
        <v>24</v>
      </c>
      <c r="B36" s="27" t="inlineStr">
        <is>
          <t>⚠ CỐ TÌNH LÀM SAI — Thử gõ thẳng vào thanh địa chỉ: class.vietanh.org/roster rồi Enter.</t>
        </is>
      </c>
      <c r="C36" s="26" t="inlineStr">
        <is>
          <t>App phải đẩy bạn đi chỗ khác hoặc báo không có quyền. Nếu mở được danh sách lớp — dừng đợt thử và báo ngay.</t>
        </is>
      </c>
      <c r="D36" s="23" t="n"/>
      <c r="E36" s="23" t="n"/>
      <c r="F36" s="23" t="n"/>
      <c r="G36" s="24" t="n"/>
      <c r="H36" s="23" t="n"/>
      <c r="I36" s="23" t="n"/>
      <c r="J36" s="23" t="n"/>
      <c r="K36" s="24" t="n"/>
      <c r="L36" s="23" t="n"/>
      <c r="M36" s="23" t="n"/>
      <c r="N36" s="23" t="n"/>
      <c r="O36" s="25">
        <f>IF(OR(D36="Khác hẳn mô tả",D36="Không làm được / bị kẹt",H36="Khác hẳn mô tả",H36="Không làm được / bị kẹt",L36="Khác hẳn mô tả",L36="Không làm được / bị kẹt"),"⚠","")</f>
        <v/>
      </c>
    </row>
    <row r="37" ht="30" customHeight="1">
      <c r="A37" s="28" t="n">
        <v>25</v>
      </c>
      <c r="B37" s="29" t="inlineStr">
        <is>
          <t>📱 TRÊN ĐIỆN THOẠI — Mở báo cáo trên điện thoại như một phụ huynh thật.</t>
        </is>
      </c>
      <c r="C37" s="28" t="inlineStr">
        <is>
          <t>Đọc được thoải mái không? Đây là màn phụ huynh dùng nhiều nhất nên hãy ghi kỹ cảm nhận.</t>
        </is>
      </c>
      <c r="D37" s="23" t="n"/>
      <c r="E37" s="23" t="n"/>
      <c r="F37" s="23" t="n"/>
      <c r="G37" s="24" t="n"/>
      <c r="H37" s="23" t="n"/>
      <c r="I37" s="23" t="n"/>
      <c r="J37" s="23" t="n"/>
      <c r="K37" s="24" t="n"/>
      <c r="L37" s="23" t="n"/>
      <c r="M37" s="23" t="n"/>
      <c r="N37" s="23" t="n"/>
      <c r="O37" s="25">
        <f>IF(OR(D37="Khác hẳn mô tả",D37="Không làm được / bị kẹt",H37="Khác hẳn mô tả",H37="Không làm được / bị kẹt",L37="Khác hẳn mô tả",L37="Không làm được / bị kẹt"),"⚠","")</f>
        <v/>
      </c>
    </row>
    <row r="39" ht="22" customHeight="1">
      <c r="A39" s="3" t="inlineStr">
        <is>
          <t>NHẬT KÝ TỰ DO — ghi bất cứ điều gì xảy ra ngoài các chặng ở trên</t>
        </is>
      </c>
    </row>
    <row r="40">
      <c r="A40" s="30" t="inlineStr">
        <is>
          <t>Vòng</t>
        </is>
      </c>
      <c r="B40" s="30" t="inlineStr">
        <is>
          <t>Màn hình nào</t>
        </is>
      </c>
      <c r="C40" s="30" t="inlineStr">
        <is>
          <t>Chuyện gì xảy ra</t>
        </is>
      </c>
      <c r="E40" s="30" t="inlineStr">
        <is>
          <t>Nặng hay nhẹ</t>
        </is>
      </c>
      <c r="F40" s="30" t="inlineStr">
        <is>
          <t>Bạn mong nó phải thế nào</t>
        </is>
      </c>
    </row>
    <row r="41" ht="26" customHeight="1">
      <c r="A41" s="23" t="n"/>
      <c r="B41" s="23" t="n"/>
      <c r="C41" s="23" t="n"/>
      <c r="E41" s="23" t="n"/>
      <c r="F41" s="23" t="n"/>
    </row>
    <row r="42" ht="26" customHeight="1">
      <c r="A42" s="23" t="n"/>
      <c r="B42" s="23" t="n"/>
      <c r="C42" s="23" t="n"/>
      <c r="E42" s="23" t="n"/>
      <c r="F42" s="23" t="n"/>
    </row>
    <row r="43" ht="26" customHeight="1">
      <c r="A43" s="23" t="n"/>
      <c r="B43" s="23" t="n"/>
      <c r="C43" s="23" t="n"/>
      <c r="E43" s="23" t="n"/>
      <c r="F43" s="23" t="n"/>
    </row>
    <row r="44" ht="26" customHeight="1">
      <c r="A44" s="23" t="n"/>
      <c r="B44" s="23" t="n"/>
      <c r="C44" s="23" t="n"/>
      <c r="E44" s="23" t="n"/>
      <c r="F44" s="23" t="n"/>
    </row>
    <row r="45" ht="26" customHeight="1">
      <c r="A45" s="23" t="n"/>
      <c r="B45" s="23" t="n"/>
      <c r="C45" s="23" t="n"/>
      <c r="E45" s="23" t="n"/>
      <c r="F45" s="23" t="n"/>
    </row>
    <row r="46" ht="26" customHeight="1">
      <c r="A46" s="23" t="n"/>
      <c r="B46" s="23" t="n"/>
      <c r="C46" s="23" t="n"/>
      <c r="E46" s="23" t="n"/>
      <c r="F46" s="23" t="n"/>
    </row>
    <row r="47" ht="26" customHeight="1">
      <c r="A47" s="23" t="n"/>
      <c r="B47" s="23" t="n"/>
      <c r="C47" s="23" t="n"/>
      <c r="E47" s="23" t="n"/>
      <c r="F47" s="23" t="n"/>
    </row>
    <row r="48" ht="26" customHeight="1">
      <c r="A48" s="23" t="n"/>
      <c r="B48" s="23" t="n"/>
      <c r="C48" s="23" t="n"/>
      <c r="E48" s="23" t="n"/>
      <c r="F48" s="23" t="n"/>
    </row>
    <row r="49" ht="26" customHeight="1">
      <c r="A49" s="23" t="n"/>
      <c r="B49" s="23" t="n"/>
      <c r="C49" s="23" t="n"/>
      <c r="E49" s="23" t="n"/>
      <c r="F49" s="23" t="n"/>
    </row>
    <row r="50" ht="26" customHeight="1">
      <c r="A50" s="23" t="n"/>
      <c r="B50" s="23" t="n"/>
      <c r="C50" s="23" t="n"/>
      <c r="E50" s="23" t="n"/>
      <c r="F50" s="23" t="n"/>
    </row>
    <row r="51" ht="26" customHeight="1">
      <c r="A51" s="23" t="n"/>
      <c r="B51" s="23" t="n"/>
      <c r="C51" s="23" t="n"/>
      <c r="E51" s="23" t="n"/>
      <c r="F51" s="23" t="n"/>
    </row>
    <row r="52" ht="26" customHeight="1">
      <c r="A52" s="23" t="n"/>
      <c r="B52" s="23" t="n"/>
      <c r="C52" s="23" t="n"/>
      <c r="E52" s="23" t="n"/>
      <c r="F52" s="23" t="n"/>
    </row>
    <row r="54" ht="22" customHeight="1">
      <c r="A54" s="3" t="inlineStr">
        <is>
          <t>CÂU HỎI CUỐI — trả lời sau khi đã thử hết</t>
        </is>
      </c>
    </row>
    <row r="55" ht="42" customHeight="1">
      <c r="A55" s="7" t="inlineStr">
        <is>
          <t>1. Sau khi dùng thử, bạn mô tả app này cho một đồng nghiệp chưa biết gì bằng 2–3 câu như thế nào?</t>
        </is>
      </c>
      <c r="D55" s="23" t="n"/>
    </row>
    <row r="56" ht="42" customHeight="1">
      <c r="A56" s="7" t="inlineStr">
        <is>
          <t>2. Với vai BAN GIÁM HIỆU: mở app buổi sáng, bạn muốn thấy NGAY con số gì? App có cho bạn thấy nó không?</t>
        </is>
      </c>
      <c r="D56" s="23" t="n"/>
    </row>
    <row r="57" ht="42" customHeight="1">
      <c r="A57" s="7" t="inlineStr">
        <is>
          <t>3. Với vai BAN GIÁM HIỆU: menu chỉ có 3 mục (Cơ sở · Danh sách · Thời khoá biểu). Thiếu gì bạn thật sự cần?</t>
        </is>
      </c>
      <c r="D57" s="23" t="n"/>
    </row>
    <row r="58" ht="42" customHeight="1">
      <c r="A58" s="7" t="inlineStr">
        <is>
          <t>4. Với vai BAN GIÁM HIỆU: bạn có muốn tự mời và quản lý giáo viên không, hay việc đó nên để quản trị viên làm?</t>
        </is>
      </c>
      <c r="D58" s="23" t="n"/>
    </row>
    <row r="59" ht="42" customHeight="1">
      <c r="A59" s="7" t="inlineStr">
        <is>
          <t>5. Với vai HỌC SINH: em học sinh thường (không phải tổ trưởng) có đủ việc để làm trong app không?</t>
        </is>
      </c>
      <c r="D59" s="23" t="n"/>
    </row>
    <row r="60" ht="42" customHeight="1">
      <c r="A60" s="7" t="inlineStr">
        <is>
          <t>6. Với vai PHỤ HUYNH: bạn có muốn phản hồi lại cho giáo viên qua app không, hay chỉ cần xem là đủ?</t>
        </is>
      </c>
      <c r="D60" s="23" t="n"/>
    </row>
    <row r="61" ht="42" customHeight="1">
      <c r="A61" s="7" t="inlineStr">
        <is>
          <t>7. Chữ nghĩa trong app có chỗ nào khó hiểu hoặc dùng từ lạ không?</t>
        </is>
      </c>
      <c r="D61" s="23" t="n"/>
    </row>
    <row r="62" ht="42" customHeight="1">
      <c r="A62" s="6" t="inlineStr">
        <is>
          <t>8. NẾU CHỈ ĐƯỢC SỬA MỘT THỨ trước khi dùng thật cho cả trường — bạn sửa gì? Vì sao?</t>
        </is>
      </c>
      <c r="D62" s="23" t="n"/>
    </row>
  </sheetData>
  <mergeCells count="99">
    <mergeCell ref="F46:O46"/>
    <mergeCell ref="A43"/>
    <mergeCell ref="E41"/>
    <mergeCell ref="A52"/>
    <mergeCell ref="A57:C57"/>
    <mergeCell ref="E43"/>
    <mergeCell ref="C41:D41"/>
    <mergeCell ref="C50:D50"/>
    <mergeCell ref="A32:O32"/>
    <mergeCell ref="B46"/>
    <mergeCell ref="E42"/>
    <mergeCell ref="C43:D43"/>
    <mergeCell ref="B48"/>
    <mergeCell ref="E44"/>
    <mergeCell ref="F51:O51"/>
    <mergeCell ref="B8"/>
    <mergeCell ref="F41:O41"/>
    <mergeCell ref="A50"/>
    <mergeCell ref="F50:O50"/>
    <mergeCell ref="E46"/>
    <mergeCell ref="K8"/>
    <mergeCell ref="D57:O57"/>
    <mergeCell ref="L8:N8"/>
    <mergeCell ref="C45:D45"/>
    <mergeCell ref="A55:C55"/>
    <mergeCell ref="A44"/>
    <mergeCell ref="B45"/>
    <mergeCell ref="E47"/>
    <mergeCell ref="A40"/>
    <mergeCell ref="A2:O2"/>
    <mergeCell ref="C47:D47"/>
    <mergeCell ref="F49:O49"/>
    <mergeCell ref="B47"/>
    <mergeCell ref="A51"/>
    <mergeCell ref="C40:D40"/>
    <mergeCell ref="D55:O55"/>
    <mergeCell ref="G8"/>
    <mergeCell ref="D5:O5"/>
    <mergeCell ref="F40:O40"/>
    <mergeCell ref="A58:C58"/>
    <mergeCell ref="D60:O60"/>
    <mergeCell ref="A60:C60"/>
    <mergeCell ref="E49"/>
    <mergeCell ref="A42"/>
    <mergeCell ref="A47"/>
    <mergeCell ref="E45"/>
    <mergeCell ref="B49"/>
    <mergeCell ref="A54:O54"/>
    <mergeCell ref="F52:O52"/>
    <mergeCell ref="B51"/>
    <mergeCell ref="B41"/>
    <mergeCell ref="B50"/>
    <mergeCell ref="A48"/>
    <mergeCell ref="F44:O44"/>
    <mergeCell ref="C44:D44"/>
    <mergeCell ref="A62:C62"/>
    <mergeCell ref="D58:O58"/>
    <mergeCell ref="D8:F8"/>
    <mergeCell ref="C46:D46"/>
    <mergeCell ref="A10:O10"/>
    <mergeCell ref="C51:D51"/>
    <mergeCell ref="H8:J8"/>
    <mergeCell ref="E51"/>
    <mergeCell ref="A41"/>
    <mergeCell ref="C48:D48"/>
    <mergeCell ref="A59:C59"/>
    <mergeCell ref="D59:O59"/>
    <mergeCell ref="A39:O39"/>
    <mergeCell ref="F42:O42"/>
    <mergeCell ref="A61:C61"/>
    <mergeCell ref="A1:O1"/>
    <mergeCell ref="C49:D49"/>
    <mergeCell ref="D6:O6"/>
    <mergeCell ref="A8"/>
    <mergeCell ref="C8"/>
    <mergeCell ref="B40"/>
    <mergeCell ref="C42:D42"/>
    <mergeCell ref="A56:C56"/>
    <mergeCell ref="F48:O48"/>
    <mergeCell ref="F43:O43"/>
    <mergeCell ref="D61:O61"/>
    <mergeCell ref="A26:O26"/>
    <mergeCell ref="E50"/>
    <mergeCell ref="D4:O4"/>
    <mergeCell ref="A49"/>
    <mergeCell ref="D62:O62"/>
    <mergeCell ref="D56:O56"/>
    <mergeCell ref="E52"/>
    <mergeCell ref="A45"/>
    <mergeCell ref="B43"/>
    <mergeCell ref="E48"/>
    <mergeCell ref="B52"/>
    <mergeCell ref="B42"/>
    <mergeCell ref="C52:D52"/>
    <mergeCell ref="A46"/>
    <mergeCell ref="F45:O45"/>
    <mergeCell ref="E40"/>
    <mergeCell ref="B44"/>
    <mergeCell ref="F47:O47"/>
  </mergeCells>
  <dataValidations count="9">
    <dataValidation sqref="D11:D37" showDropDown="0" showInputMessage="0" showErrorMessage="0" allowBlank="1" type="list">
      <formula1>DS!$A$2:$A$6</formula1>
    </dataValidation>
    <dataValidation sqref="E11:E37" showDropDown="0" showInputMessage="0" showErrorMessage="0" allowBlank="1" type="list">
      <formula1>DS!$B$2:$B$6</formula1>
    </dataValidation>
    <dataValidation sqref="H11:H37" showDropDown="0" showInputMessage="0" showErrorMessage="0" allowBlank="1" type="list">
      <formula1>DS!$A$2:$A$6</formula1>
    </dataValidation>
    <dataValidation sqref="I11:I37" showDropDown="0" showInputMessage="0" showErrorMessage="0" allowBlank="1" type="list">
      <formula1>DS!$B$2:$B$6</formula1>
    </dataValidation>
    <dataValidation sqref="L11:L37" showDropDown="0" showInputMessage="0" showErrorMessage="0" allowBlank="1" type="list">
      <formula1>DS!$A$2:$A$6</formula1>
    </dataValidation>
    <dataValidation sqref="M11:M37" showDropDown="0" showInputMessage="0" showErrorMessage="0" allowBlank="1" type="list">
      <formula1>DS!$B$2:$B$6</formula1>
    </dataValidation>
    <dataValidation sqref="G11:G37" showDropDown="0" showInputMessage="0" showErrorMessage="0" allowBlank="1" type="list">
      <formula1>DS!$C$2:$C$5</formula1>
    </dataValidation>
    <dataValidation sqref="K11:K37" showDropDown="0" showInputMessage="0" showErrorMessage="0" allowBlank="1" type="list">
      <formula1>DS!$C$2:$C$5</formula1>
    </dataValidation>
    <dataValidation sqref="E41:E52" showDropDown="0" showInputMessage="0" showErrorMessage="0" allowBlank="1" type="list">
      <formula1>DS!$D$2:$D$4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1"/>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52" customWidth="1" min="3" max="3"/>
    <col width="16" customWidth="1" min="4" max="4"/>
    <col width="8" customWidth="1" min="5" max="5"/>
    <col width="34" customWidth="1" min="6" max="6"/>
    <col width="12" customWidth="1" min="7" max="7"/>
    <col width="16" customWidth="1" min="8" max="8"/>
    <col width="8" customWidth="1" min="9" max="9"/>
    <col width="34" customWidth="1" min="10" max="10"/>
    <col width="12" customWidth="1" min="11" max="11"/>
    <col width="16" customWidth="1" min="12" max="12"/>
    <col width="8" customWidth="1" min="13" max="13"/>
    <col width="34" customWidth="1" min="14" max="14"/>
    <col width="5" customWidth="1" min="15" max="15"/>
  </cols>
  <sheetData>
    <row r="1" ht="30" customHeight="1">
      <c r="A1" s="1" t="inlineStr">
        <is>
          <t>N3 · Quản trị viên — vai chính: Quản trị viên</t>
        </is>
      </c>
    </row>
    <row r="2" ht="20" customHeight="1">
      <c r="A2" s="2" t="inlineStr">
        <is>
          <t>Bạn đóng vai quản trị viên — người thấy được toàn hệ thống và tạo lập mọi thứ. Bạn cũng là người đối chứng: khi hai bạn kia thao tác, bạn kiểm xem hệ thống có ghi đúng không. Sau đó bạn đổi sang vai giáo viên chủ nhiệm một lớp ở cơ sở KHÁC, và vai học sinh lớp đó.</t>
        </is>
      </c>
    </row>
    <row r="4">
      <c r="A4" s="12" t="inlineStr">
        <is>
          <t>▸</t>
        </is>
      </c>
      <c r="B4" s="12" t="inlineStr">
        <is>
          <t>Quản trị viên</t>
        </is>
      </c>
      <c r="C4" s="13" t="inlineStr">
        <is>
          <t>test3.admin@truongvietanh.com</t>
        </is>
      </c>
      <c r="D4" s="14" t="inlineStr">
        <is>
          <t>Thấy toàn bộ hệ thống, mọi cơ sở</t>
        </is>
      </c>
    </row>
    <row r="5">
      <c r="A5" s="12" t="inlineStr">
        <is>
          <t>▸</t>
        </is>
      </c>
      <c r="B5" s="12" t="inlineStr">
        <is>
          <t>Giáo viên chủ nhiệm</t>
        </is>
      </c>
      <c r="C5" s="13" t="inlineStr">
        <is>
          <t>test3.gvcn@truongvietanh.com</t>
        </is>
      </c>
      <c r="D5" s="14" t="inlineStr">
        <is>
          <t>Chủ nhiệm lớp 6A2 · cơ sở Việt Anh Gò Vấp</t>
        </is>
      </c>
    </row>
    <row r="6">
      <c r="A6" s="12" t="inlineStr">
        <is>
          <t>▸</t>
        </is>
      </c>
      <c r="B6" s="12" t="inlineStr">
        <is>
          <t>Học sinh</t>
        </is>
      </c>
      <c r="C6" s="13" t="inlineStr">
        <is>
          <t>test3.hs@student.truongvietanh.com</t>
        </is>
      </c>
      <c r="D6" s="14" t="inlineStr">
        <is>
          <t>Học lớp 6A2 · cơ sở Việt Anh Gò Vấp</t>
        </is>
      </c>
    </row>
    <row r="8" ht="18" customHeight="1">
      <c r="A8" s="15" t="n"/>
      <c r="B8" s="15" t="n"/>
      <c r="C8" s="15" t="n"/>
      <c r="D8" s="16" t="inlineStr">
        <is>
          <t>VÒNG THỬ 1</t>
        </is>
      </c>
      <c r="G8" s="17" t="inlineStr">
        <is>
          <t>GIỮA VÒNG</t>
        </is>
      </c>
      <c r="H8" s="16" t="inlineStr">
        <is>
          <t>VÒNG THỬ 2</t>
        </is>
      </c>
      <c r="K8" s="17" t="inlineStr">
        <is>
          <t>GIỮA VÒNG</t>
        </is>
      </c>
      <c r="L8" s="16" t="inlineStr">
        <is>
          <t>VÒNG THỬ 3</t>
        </is>
      </c>
    </row>
    <row r="9" ht="32" customHeight="1">
      <c r="A9" s="18" t="inlineStr">
        <is>
          <t>#</t>
        </is>
      </c>
      <c r="B9" s="18" t="inlineStr">
        <is>
          <t>BẠN LÀM GÌ</t>
        </is>
      </c>
      <c r="C9" s="18" t="inlineStr">
        <is>
          <t>BẠN SẼ THẤY GÌ</t>
        </is>
      </c>
      <c r="D9" s="19" t="inlineStr">
        <is>
          <t>Đúng như mô tả?</t>
        </is>
      </c>
      <c r="E9" s="19" t="inlineStr">
        <is>
          <t>Dễ dùng 1–5</t>
        </is>
      </c>
      <c r="F9" s="19" t="inlineStr">
        <is>
          <t>GHI CHÚ — viết thoải mái</t>
        </is>
      </c>
      <c r="G9" s="20" t="inlineStr">
        <is>
          <t>Đã sửa?</t>
        </is>
      </c>
      <c r="H9" s="19" t="inlineStr">
        <is>
          <t>Đúng như mô tả?</t>
        </is>
      </c>
      <c r="I9" s="19" t="inlineStr">
        <is>
          <t>Dễ dùng 1–5</t>
        </is>
      </c>
      <c r="J9" s="19" t="inlineStr">
        <is>
          <t>GHI CHÚ — viết thoải mái</t>
        </is>
      </c>
      <c r="K9" s="20" t="inlineStr">
        <is>
          <t>Đã sửa?</t>
        </is>
      </c>
      <c r="L9" s="19" t="inlineStr">
        <is>
          <t>Đúng như mô tả?</t>
        </is>
      </c>
      <c r="M9" s="19" t="inlineStr">
        <is>
          <t>Dễ dùng 1–5</t>
        </is>
      </c>
      <c r="N9" s="19" t="inlineStr">
        <is>
          <t>GHI CHÚ — viết thoải mái</t>
        </is>
      </c>
      <c r="O9" s="21" t="inlineStr">
        <is>
          <t>⚠</t>
        </is>
      </c>
    </row>
    <row r="10" ht="26" customHeight="1">
      <c r="A10" s="22" t="inlineStr">
        <is>
          <t>◆  VAI: QUẢN TRỊ VIÊN        —        Nút demo: “N3 · Quản trị viên”        —        Vai chính của bạn — người thấy toàn hệ thống. Bạn cũng là người đối chứng cho hai bạn kia.</t>
        </is>
      </c>
    </row>
    <row r="11" ht="30" customHeight="1">
      <c r="A11" s="7" t="n">
        <v>1</v>
      </c>
      <c r="B11" s="7" t="inlineStr">
        <is>
          <t>Mở https://class.vietanh.org, bấm nút demo “N3 · Quản trị viên”.</t>
        </is>
      </c>
      <c r="C11" s="7" t="inlineStr">
        <is>
          <t>Vào thẳng. Góc phải ghi “Quản trị viên”.</t>
        </is>
      </c>
      <c r="D11" s="23" t="n"/>
      <c r="E11" s="23" t="n"/>
      <c r="F11" s="23" t="n"/>
      <c r="G11" s="24" t="n"/>
      <c r="H11" s="23" t="n"/>
      <c r="I11" s="23" t="n"/>
      <c r="J11" s="23" t="n"/>
      <c r="K11" s="24" t="n"/>
      <c r="L11" s="23" t="n"/>
      <c r="M11" s="23" t="n"/>
      <c r="N11" s="23" t="n"/>
      <c r="O11" s="25">
        <f>IF(OR(D11="Khác hẳn mô tả",D11="Không làm được / bị kẹt",H11="Khác hẳn mô tả",H11="Không làm được / bị kẹt",L11="Khác hẳn mô tả",L11="Không làm được / bị kẹt"),"⚠","")</f>
        <v/>
      </c>
    </row>
    <row r="12" ht="30" customHeight="1">
      <c r="A12" s="7" t="n">
        <v>2</v>
      </c>
      <c r="B12" s="7" t="inlineStr">
        <is>
          <t>Đọc các mục trên thanh menu, ghi lại.</t>
        </is>
      </c>
      <c r="C12" s="7" t="inlineStr">
        <is>
          <t>Nhiều mục nhất: Quản trị · Bảng điểm · Danh sách · Điểm danh · WIG · Thi đua · Thời khoá biểu.</t>
        </is>
      </c>
      <c r="D12" s="23" t="n"/>
      <c r="E12" s="23" t="n"/>
      <c r="F12" s="23" t="n"/>
      <c r="G12" s="24" t="n"/>
      <c r="H12" s="23" t="n"/>
      <c r="I12" s="23" t="n"/>
      <c r="J12" s="23" t="n"/>
      <c r="K12" s="24" t="n"/>
      <c r="L12" s="23" t="n"/>
      <c r="M12" s="23" t="n"/>
      <c r="N12" s="23" t="n"/>
      <c r="O12" s="25">
        <f>IF(OR(D12="Khác hẳn mô tả",D12="Không làm được / bị kẹt",H12="Khác hẳn mô tả",H12="Không làm được / bị kẹt",L12="Khác hẳn mô tả",L12="Không làm được / bị kẹt"),"⚠","")</f>
        <v/>
      </c>
    </row>
    <row r="13" ht="30" customHeight="1">
      <c r="A13" s="7" t="n">
        <v>3</v>
      </c>
      <c r="B13" s="7" t="inlineStr">
        <is>
          <t>Mở “Quản trị”.</t>
        </is>
      </c>
      <c r="C13" s="7" t="inlineStr">
        <is>
          <t>Màn quản trị có hai phần lớn: “Người dùng” và “Lớp &amp; Cơ sở”.</t>
        </is>
      </c>
      <c r="D13" s="23" t="n"/>
      <c r="E13" s="23" t="n"/>
      <c r="F13" s="23" t="n"/>
      <c r="G13" s="24" t="n"/>
      <c r="H13" s="23" t="n"/>
      <c r="I13" s="23" t="n"/>
      <c r="J13" s="23" t="n"/>
      <c r="K13" s="24" t="n"/>
      <c r="L13" s="23" t="n"/>
      <c r="M13" s="23" t="n"/>
      <c r="N13" s="23" t="n"/>
      <c r="O13" s="25">
        <f>IF(OR(D13="Khác hẳn mô tả",D13="Không làm được / bị kẹt",H13="Khác hẳn mô tả",H13="Không làm được / bị kẹt",L13="Khác hẳn mô tả",L13="Không làm được / bị kẹt"),"⚠","")</f>
        <v/>
      </c>
    </row>
    <row r="14" ht="30" customHeight="1">
      <c r="A14" s="7" t="n">
        <v>4</v>
      </c>
      <c r="B14" s="7" t="inlineStr">
        <is>
          <t>Ở phần “Người dùng”, gõ chữ test vào ô “Tìm theo tên / email”.</t>
        </is>
      </c>
      <c r="C14" s="7" t="inlineStr">
        <is>
          <t>Hiện ra 9 tài khoản thử của cả ba người. Mỗi dòng có ô đổi vai trò.</t>
        </is>
      </c>
      <c r="D14" s="23" t="n"/>
      <c r="E14" s="23" t="n"/>
      <c r="F14" s="23" t="n"/>
      <c r="G14" s="24" t="n"/>
      <c r="H14" s="23" t="n"/>
      <c r="I14" s="23" t="n"/>
      <c r="J14" s="23" t="n"/>
      <c r="K14" s="24" t="n"/>
      <c r="L14" s="23" t="n"/>
      <c r="M14" s="23" t="n"/>
      <c r="N14" s="23" t="n"/>
      <c r="O14" s="25">
        <f>IF(OR(D14="Khác hẳn mô tả",D14="Không làm được / bị kẹt",H14="Khác hẳn mô tả",H14="Không làm được / bị kẹt",L14="Khác hẳn mô tả",L14="Không làm được / bị kẹt"),"⚠","")</f>
        <v/>
      </c>
    </row>
    <row r="15" ht="39" customHeight="1">
      <c r="A15" s="7" t="n">
        <v>5</v>
      </c>
      <c r="B15" s="7" t="inlineStr">
        <is>
          <t>ĐẾM xem có bao nhiêu tài khoản đang ở vai “Chờ cấp quyền”. Ghi con số.</t>
        </is>
      </c>
      <c r="C15" s="7" t="inlineStr">
        <is>
          <t>Nên là 0. Nếu có tài khoản nào còn “Chờ cấp quyền” thì người đó sẽ không đăng nhập dùng được — báo lại ngay.</t>
        </is>
      </c>
      <c r="D15" s="23" t="n"/>
      <c r="E15" s="23" t="n"/>
      <c r="F15" s="23" t="n"/>
      <c r="G15" s="24" t="n"/>
      <c r="H15" s="23" t="n"/>
      <c r="I15" s="23" t="n"/>
      <c r="J15" s="23" t="n"/>
      <c r="K15" s="24" t="n"/>
      <c r="L15" s="23" t="n"/>
      <c r="M15" s="23" t="n"/>
      <c r="N15" s="23" t="n"/>
      <c r="O15" s="25">
        <f>IF(OR(D15="Khác hẳn mô tả",D15="Không làm được / bị kẹt",H15="Khác hẳn mô tả",H15="Không làm được / bị kẹt",L15="Khác hẳn mô tả",L15="Không làm được / bị kẹt"),"⚠","")</f>
        <v/>
      </c>
    </row>
    <row r="16" ht="39" customHeight="1">
      <c r="A16" s="7" t="n">
        <v>6</v>
      </c>
      <c r="B16" s="7" t="inlineStr">
        <is>
          <t>Mở phần “Lớp &amp; Cơ sở”. Đếm số cơ sở và số lớp, ghi lại.</t>
        </is>
      </c>
      <c r="C16" s="7" t="inlineStr">
        <is>
          <t>Thấy cả hai cơ sở (Việt Anh Gò Vấp, Việt Anh Quận 2) và tất cả các lớp — quản trị viên thấy hết, khác hẳn ban giám hiệu.</t>
        </is>
      </c>
      <c r="D16" s="23" t="n"/>
      <c r="E16" s="23" t="n"/>
      <c r="F16" s="23" t="n"/>
      <c r="G16" s="24" t="n"/>
      <c r="H16" s="23" t="n"/>
      <c r="I16" s="23" t="n"/>
      <c r="J16" s="23" t="n"/>
      <c r="K16" s="24" t="n"/>
      <c r="L16" s="23" t="n"/>
      <c r="M16" s="23" t="n"/>
      <c r="N16" s="23" t="n"/>
      <c r="O16" s="25">
        <f>IF(OR(D16="Khác hẳn mô tả",D16="Không làm được / bị kẹt",H16="Khác hẳn mô tả",H16="Không làm được / bị kẹt",L16="Khác hẳn mô tả",L16="Không làm được / bị kẹt"),"⚠","")</f>
        <v/>
      </c>
    </row>
    <row r="17" ht="39" customHeight="1">
      <c r="A17" s="7" t="n">
        <v>7</v>
      </c>
      <c r="B17" s="7" t="inlineStr">
        <is>
          <t>Trong một thẻ cơ sở, tìm phần “Khối”.</t>
        </is>
      </c>
      <c r="C17" s="7" t="inlineStr">
        <is>
          <t>Nếu cơ sở đã khai cấp học thì các khối đã có sẵn theo chuẩn và không cho gõ tay. Bạn thấy vậy có hợp lý không?</t>
        </is>
      </c>
      <c r="D17" s="23" t="n"/>
      <c r="E17" s="23" t="n"/>
      <c r="F17" s="23" t="n"/>
      <c r="G17" s="24" t="n"/>
      <c r="H17" s="23" t="n"/>
      <c r="I17" s="23" t="n"/>
      <c r="J17" s="23" t="n"/>
      <c r="K17" s="24" t="n"/>
      <c r="L17" s="23" t="n"/>
      <c r="M17" s="23" t="n"/>
      <c r="N17" s="23" t="n"/>
      <c r="O17" s="25">
        <f>IF(OR(D17="Khác hẳn mô tả",D17="Không làm được / bị kẹt",H17="Khác hẳn mô tả",H17="Không làm được / bị kẹt",L17="Khác hẳn mô tả",L17="Không làm được / bị kẹt"),"⚠","")</f>
        <v/>
      </c>
    </row>
    <row r="18" ht="30" customHeight="1">
      <c r="A18" s="7" t="n">
        <v>8</v>
      </c>
      <c r="B18" s="7" t="inlineStr">
        <is>
          <t>Thử phần “Tạo cơ sở”: điền tên, mã, chọn “Cấp học”.</t>
        </is>
      </c>
      <c r="C18" s="7" t="inlineStr">
        <is>
          <t>Sau khi chọn cấp học, app cho bạn biết trước sẽ tạo ra những khối nào. Có đúng không?</t>
        </is>
      </c>
      <c r="D18" s="23" t="n"/>
      <c r="E18" s="23" t="n"/>
      <c r="F18" s="23" t="n"/>
      <c r="G18" s="24" t="n"/>
      <c r="H18" s="23" t="n"/>
      <c r="I18" s="23" t="n"/>
      <c r="J18" s="23" t="n"/>
      <c r="K18" s="24" t="n"/>
      <c r="L18" s="23" t="n"/>
      <c r="M18" s="23" t="n"/>
      <c r="N18" s="23" t="n"/>
      <c r="O18" s="25">
        <f>IF(OR(D18="Khác hẳn mô tả",D18="Không làm được / bị kẹt",H18="Khác hẳn mô tả",H18="Không làm được / bị kẹt",L18="Khác hẳn mô tả",L18="Không làm được / bị kẹt"),"⚠","")</f>
        <v/>
      </c>
    </row>
    <row r="19" ht="30" customHeight="1">
      <c r="A19" s="26" t="n">
        <v>9</v>
      </c>
      <c r="B19" s="27" t="inlineStr">
        <is>
          <t>⚠ CỐ TÌNH LÀM SAI — Thử tạo cơ sở mà bỏ trống ô “Cấp học”.</t>
        </is>
      </c>
      <c r="C19" s="26" t="inlineStr">
        <is>
          <t>App phải chặn và nói rõ cần chọn cấp học.</t>
        </is>
      </c>
      <c r="D19" s="23" t="n"/>
      <c r="E19" s="23" t="n"/>
      <c r="F19" s="23" t="n"/>
      <c r="G19" s="24" t="n"/>
      <c r="H19" s="23" t="n"/>
      <c r="I19" s="23" t="n"/>
      <c r="J19" s="23" t="n"/>
      <c r="K19" s="24" t="n"/>
      <c r="L19" s="23" t="n"/>
      <c r="M19" s="23" t="n"/>
      <c r="N19" s="23" t="n"/>
      <c r="O19" s="25">
        <f>IF(OR(D19="Khác hẳn mô tả",D19="Không làm được / bị kẹt",H19="Khác hẳn mô tả",H19="Không làm được / bị kẹt",L19="Khác hẳn mô tả",L19="Không làm được / bị kẹt"),"⚠","")</f>
        <v/>
      </c>
    </row>
    <row r="20" ht="30" customHeight="1">
      <c r="A20" s="7" t="n">
        <v>10</v>
      </c>
      <c r="B20" s="7" t="inlineStr">
        <is>
          <t>Tìm phần “Mời người dùng mới”. Mời thử một email, chọn vai trò.</t>
        </is>
      </c>
      <c r="C20" s="7" t="inlineStr">
        <is>
          <t>App xác nhận đã mời và nói rõ vai trò sẽ được gán khi người đó đăng nhập lần đầu.</t>
        </is>
      </c>
      <c r="D20" s="23" t="n"/>
      <c r="E20" s="23" t="n"/>
      <c r="F20" s="23" t="n"/>
      <c r="G20" s="24" t="n"/>
      <c r="H20" s="23" t="n"/>
      <c r="I20" s="23" t="n"/>
      <c r="J20" s="23" t="n"/>
      <c r="K20" s="24" t="n"/>
      <c r="L20" s="23" t="n"/>
      <c r="M20" s="23" t="n"/>
      <c r="N20" s="23" t="n"/>
      <c r="O20" s="25">
        <f>IF(OR(D20="Khác hẳn mô tả",D20="Không làm được / bị kẹt",H20="Khác hẳn mô tả",H20="Không làm được / bị kẹt",L20="Khác hẳn mô tả",L20="Không làm được / bị kẹt"),"⚠","")</f>
        <v/>
      </c>
    </row>
    <row r="21" ht="30" customHeight="1">
      <c r="A21" s="7" t="n">
        <v>11</v>
      </c>
      <c r="B21" s="7" t="inlineStr">
        <is>
          <t>Tìm phần “Phân công GVCN cho lớp”. Xem cách nó hoạt động.</t>
        </is>
      </c>
      <c r="C21" s="7" t="inlineStr">
        <is>
          <t>Chọn được người và lớp. Ghi lại: cách chọn này có dễ hiểu không?</t>
        </is>
      </c>
      <c r="D21" s="23" t="n"/>
      <c r="E21" s="23" t="n"/>
      <c r="F21" s="23" t="n"/>
      <c r="G21" s="24" t="n"/>
      <c r="H21" s="23" t="n"/>
      <c r="I21" s="23" t="n"/>
      <c r="J21" s="23" t="n"/>
      <c r="K21" s="24" t="n"/>
      <c r="L21" s="23" t="n"/>
      <c r="M21" s="23" t="n"/>
      <c r="N21" s="23" t="n"/>
      <c r="O21" s="25">
        <f>IF(OR(D21="Khác hẳn mô tả",D21="Không làm được / bị kẹt",H21="Khác hẳn mô tả",H21="Không làm được / bị kẹt",L21="Khác hẳn mô tả",L21="Không làm được / bị kẹt"),"⚠","")</f>
        <v/>
      </c>
    </row>
    <row r="22" ht="30" customHeight="1">
      <c r="A22" s="7" t="n">
        <v>12</v>
      </c>
      <c r="B22" s="7" t="inlineStr">
        <is>
          <t>Mở “Điểm danh”. Thử sửa điểm danh của MỘT NGÀY TRƯỚC.</t>
        </is>
      </c>
      <c r="C22" s="7" t="inlineStr">
        <is>
          <t>Quản trị viên được sửa ngày cũ. Thử xem lùi được bao xa, ghi lại.</t>
        </is>
      </c>
      <c r="D22" s="23" t="n"/>
      <c r="E22" s="23" t="n"/>
      <c r="F22" s="23" t="n"/>
      <c r="G22" s="24" t="n"/>
      <c r="H22" s="23" t="n"/>
      <c r="I22" s="23" t="n"/>
      <c r="J22" s="23" t="n"/>
      <c r="K22" s="24" t="n"/>
      <c r="L22" s="23" t="n"/>
      <c r="M22" s="23" t="n"/>
      <c r="N22" s="23" t="n"/>
      <c r="O22" s="25">
        <f>IF(OR(D22="Khác hẳn mô tả",D22="Không làm được / bị kẹt",H22="Khác hẳn mô tả",H22="Không làm được / bị kẹt",L22="Khác hẳn mô tả",L22="Không làm được / bị kẹt"),"⚠","")</f>
        <v/>
      </c>
    </row>
    <row r="23" ht="30" customHeight="1">
      <c r="A23" s="7" t="n">
        <v>13</v>
      </c>
      <c r="B23" s="7" t="inlineStr">
        <is>
          <t>Mở “Bảng điểm” và “Thi đua”.</t>
        </is>
      </c>
      <c r="C23" s="7" t="inlineStr">
        <is>
          <t>Bạn xem được dữ liệu lớp. Ghi lại: bạn đang xem lớp nào, và có đổi lớp được không?</t>
        </is>
      </c>
      <c r="D23" s="23" t="n"/>
      <c r="E23" s="23" t="n"/>
      <c r="F23" s="23" t="n"/>
      <c r="G23" s="24" t="n"/>
      <c r="H23" s="23" t="n"/>
      <c r="I23" s="23" t="n"/>
      <c r="J23" s="23" t="n"/>
      <c r="K23" s="24" t="n"/>
      <c r="L23" s="23" t="n"/>
      <c r="M23" s="23" t="n"/>
      <c r="N23" s="23" t="n"/>
      <c r="O23" s="25">
        <f>IF(OR(D23="Khác hẳn mô tả",D23="Không làm được / bị kẹt",H23="Khác hẳn mô tả",H23="Không làm được / bị kẹt",L23="Khác hẳn mô tả",L23="Không làm được / bị kẹt"),"⚠","")</f>
        <v/>
      </c>
    </row>
    <row r="24" ht="30" customHeight="1">
      <c r="A24" s="28" t="n">
        <v>14</v>
      </c>
      <c r="B24" s="29" t="inlineStr">
        <is>
          <t>📱 TRÊN ĐIỆN THOẠI — Mở màn “Quản trị” trên điện thoại.</t>
        </is>
      </c>
      <c r="C24" s="28" t="inlineStr">
        <is>
          <t>Đây là màn nhiều thông tin nhất. Trên điện thoại có dùng nổi không? Ghi thật kỹ.</t>
        </is>
      </c>
      <c r="D24" s="23" t="n"/>
      <c r="E24" s="23" t="n"/>
      <c r="F24" s="23" t="n"/>
      <c r="G24" s="24" t="n"/>
      <c r="H24" s="23" t="n"/>
      <c r="I24" s="23" t="n"/>
      <c r="J24" s="23" t="n"/>
      <c r="K24" s="24" t="n"/>
      <c r="L24" s="23" t="n"/>
      <c r="M24" s="23" t="n"/>
      <c r="N24" s="23" t="n"/>
      <c r="O24" s="25">
        <f>IF(OR(D24="Khác hẳn mô tả",D24="Không làm được / bị kẹt",H24="Khác hẳn mô tả",H24="Không làm được / bị kẹt",L24="Khác hẳn mô tả",L24="Không làm được / bị kẹt"),"⚠","")</f>
        <v/>
      </c>
    </row>
    <row r="25" ht="26" customHeight="1">
      <c r="A25" s="22" t="inlineStr">
        <is>
          <t>◆  VAI: GIÁO VIÊN CHỦ NHIỆM lớp 6A2 — cơ sở Việt Anh Gò Vấp        —        Nút demo: “N3 · Giáo viên chủ nhiệm 6A2”        —        Lớp này ở cơ sở KHÁC với lớp của Người thử 1. Đây là vế đối chứng cho các phép thử ranh giới.</t>
        </is>
      </c>
    </row>
    <row r="26" ht="30" customHeight="1">
      <c r="A26" s="7" t="n">
        <v>15</v>
      </c>
      <c r="B26" s="7" t="inlineStr">
        <is>
          <t>Đăng xuất, đăng nhập bằng nút demo “N3 · Giáo viên chủ nhiệm 6A2”.</t>
        </is>
      </c>
      <c r="C26" s="7" t="inlineStr">
        <is>
          <t>Góc phải ghi “Giáo viên chủ nhiệm”.</t>
        </is>
      </c>
      <c r="D26" s="23" t="n"/>
      <c r="E26" s="23" t="n"/>
      <c r="F26" s="23" t="n"/>
      <c r="G26" s="24" t="n"/>
      <c r="H26" s="23" t="n"/>
      <c r="I26" s="23" t="n"/>
      <c r="J26" s="23" t="n"/>
      <c r="K26" s="24" t="n"/>
      <c r="L26" s="23" t="n"/>
      <c r="M26" s="23" t="n"/>
      <c r="N26" s="23" t="n"/>
      <c r="O26" s="25">
        <f>IF(OR(D26="Khác hẳn mô tả",D26="Không làm được / bị kẹt",H26="Khác hẳn mô tả",H26="Không làm được / bị kẹt",L26="Khác hẳn mô tả",L26="Không làm được / bị kẹt"),"⚠","")</f>
        <v/>
      </c>
    </row>
    <row r="27" ht="30" customHeight="1">
      <c r="A27" s="7" t="n">
        <v>16</v>
      </c>
      <c r="B27" s="7" t="inlineStr">
        <is>
          <t>Mở “Danh sách”. Ghi lại tên lớp và số học sinh.</t>
        </is>
      </c>
      <c r="C27" s="7" t="inlineStr">
        <is>
          <t>Phải là lớp 6A2. Nếu thấy lớp 7B1 hoặc 6A1 — bạn đang thấy lớp của người khác, báo ngay.</t>
        </is>
      </c>
      <c r="D27" s="23" t="n"/>
      <c r="E27" s="23" t="n"/>
      <c r="F27" s="23" t="n"/>
      <c r="G27" s="24" t="n"/>
      <c r="H27" s="23" t="n"/>
      <c r="I27" s="23" t="n"/>
      <c r="J27" s="23" t="n"/>
      <c r="K27" s="24" t="n"/>
      <c r="L27" s="23" t="n"/>
      <c r="M27" s="23" t="n"/>
      <c r="N27" s="23" t="n"/>
      <c r="O27" s="25">
        <f>IF(OR(D27="Khác hẳn mô tả",D27="Không làm được / bị kẹt",H27="Khác hẳn mô tả",H27="Không làm được / bị kẹt",L27="Khác hẳn mô tả",L27="Không làm được / bị kẹt"),"⚠","")</f>
        <v/>
      </c>
    </row>
    <row r="28" ht="30" customHeight="1">
      <c r="A28" s="7" t="n">
        <v>17</v>
      </c>
      <c r="B28" s="7" t="inlineStr">
        <is>
          <t>Mở “WIG”, tạo một WIG năm cho lớp 6A2.</t>
        </is>
      </c>
      <c r="C28" s="7" t="inlineStr">
        <is>
          <t>Tạo được bình thường, giống như Người thử 1 đã làm với lớp của họ.</t>
        </is>
      </c>
      <c r="D28" s="23" t="n"/>
      <c r="E28" s="23" t="n"/>
      <c r="F28" s="23" t="n"/>
      <c r="G28" s="24" t="n"/>
      <c r="H28" s="23" t="n"/>
      <c r="I28" s="23" t="n"/>
      <c r="J28" s="23" t="n"/>
      <c r="K28" s="24" t="n"/>
      <c r="L28" s="23" t="n"/>
      <c r="M28" s="23" t="n"/>
      <c r="N28" s="23" t="n"/>
      <c r="O28" s="25">
        <f>IF(OR(D28="Khác hẳn mô tả",D28="Không làm được / bị kẹt",H28="Khác hẳn mô tả",H28="Không làm được / bị kẹt",L28="Khác hẳn mô tả",L28="Không làm được / bị kẹt"),"⚠","")</f>
        <v/>
      </c>
    </row>
    <row r="29" ht="30" customHeight="1">
      <c r="A29" s="7" t="n">
        <v>18</v>
      </c>
      <c r="B29" s="7" t="inlineStr">
        <is>
          <t>Mở “Điểm danh”, điểm danh cho lớp 6A2 rồi lưu.</t>
        </is>
      </c>
      <c r="C29" s="7" t="inlineStr">
        <is>
          <t>Lưu được. Ghi lại thời gian bạn lưu để đối chiếu ở phần phối hợp.</t>
        </is>
      </c>
      <c r="D29" s="23" t="n"/>
      <c r="E29" s="23" t="n"/>
      <c r="F29" s="23" t="n"/>
      <c r="G29" s="24" t="n"/>
      <c r="H29" s="23" t="n"/>
      <c r="I29" s="23" t="n"/>
      <c r="J29" s="23" t="n"/>
      <c r="K29" s="24" t="n"/>
      <c r="L29" s="23" t="n"/>
      <c r="M29" s="23" t="n"/>
      <c r="N29" s="23" t="n"/>
      <c r="O29" s="25">
        <f>IF(OR(D29="Khác hẳn mô tả",D29="Không làm được / bị kẹt",H29="Khác hẳn mô tả",H29="Không làm được / bị kẹt",L29="Khác hẳn mô tả",L29="Không làm được / bị kẹt"),"⚠","")</f>
        <v/>
      </c>
    </row>
    <row r="30" ht="30" customHeight="1">
      <c r="A30" s="7" t="n">
        <v>19</v>
      </c>
      <c r="B30" s="7" t="inlineStr">
        <is>
          <t>Thử tìm cách xem dữ liệu lớp 7B1 (lớp của Người thử 1) bằng mọi cách bạn nghĩ ra.</t>
        </is>
      </c>
      <c r="C30" s="7" t="inlineStr">
        <is>
          <t>KHÔNG được vào. Nếu tìm được đường nào vào — ghi rõ bạn đã bấm gì, và báo ngay.</t>
        </is>
      </c>
      <c r="D30" s="23" t="n"/>
      <c r="E30" s="23" t="n"/>
      <c r="F30" s="23" t="n"/>
      <c r="G30" s="24" t="n"/>
      <c r="H30" s="23" t="n"/>
      <c r="I30" s="23" t="n"/>
      <c r="J30" s="23" t="n"/>
      <c r="K30" s="24" t="n"/>
      <c r="L30" s="23" t="n"/>
      <c r="M30" s="23" t="n"/>
      <c r="N30" s="23" t="n"/>
      <c r="O30" s="25">
        <f>IF(OR(D30="Khác hẳn mô tả",D30="Không làm được / bị kẹt",H30="Khác hẳn mô tả",H30="Không làm được / bị kẹt",L30="Khác hẳn mô tả",L30="Không làm được / bị kẹt"),"⚠","")</f>
        <v/>
      </c>
    </row>
    <row r="31" ht="26" customHeight="1">
      <c r="A31" s="22" t="inlineStr">
        <is>
          <t>◆  VAI: HỌC SINH lớp 6A2        —        Nút demo: “N3 · Học sinh 6A2”        —        Em học sinh ở cơ sở Gò Vấp.</t>
        </is>
      </c>
    </row>
    <row r="32" ht="30" customHeight="1">
      <c r="A32" s="7" t="n">
        <v>20</v>
      </c>
      <c r="B32" s="7" t="inlineStr">
        <is>
          <t>Đăng xuất, đăng nhập bằng nút demo “N3 · Học sinh 6A2”.</t>
        </is>
      </c>
      <c r="C32" s="7" t="inlineStr">
        <is>
          <t>Góc phải ghi “Học sinh”.</t>
        </is>
      </c>
      <c r="D32" s="23" t="n"/>
      <c r="E32" s="23" t="n"/>
      <c r="F32" s="23" t="n"/>
      <c r="G32" s="24" t="n"/>
      <c r="H32" s="23" t="n"/>
      <c r="I32" s="23" t="n"/>
      <c r="J32" s="23" t="n"/>
      <c r="K32" s="24" t="n"/>
      <c r="L32" s="23" t="n"/>
      <c r="M32" s="23" t="n"/>
      <c r="N32" s="23" t="n"/>
      <c r="O32" s="25">
        <f>IF(OR(D32="Khác hẳn mô tả",D32="Không làm được / bị kẹt",H32="Khác hẳn mô tả",H32="Không làm được / bị kẹt",L32="Khác hẳn mô tả",L32="Không làm được / bị kẹt"),"⚠","")</f>
        <v/>
      </c>
    </row>
    <row r="33" ht="30" customHeight="1">
      <c r="A33" s="7" t="n">
        <v>21</v>
      </c>
      <c r="B33" s="7" t="inlineStr">
        <is>
          <t>Mở “Bảng điểm của tôi”.</t>
        </is>
      </c>
      <c r="C33" s="7" t="inlineStr">
        <is>
          <t>Tiêu đề “Bảng thành tích của em”. Chỉ dữ liệu của em này, lớp 6A2.</t>
        </is>
      </c>
      <c r="D33" s="23" t="n"/>
      <c r="E33" s="23" t="n"/>
      <c r="F33" s="23" t="n"/>
      <c r="G33" s="24" t="n"/>
      <c r="H33" s="23" t="n"/>
      <c r="I33" s="23" t="n"/>
      <c r="J33" s="23" t="n"/>
      <c r="K33" s="24" t="n"/>
      <c r="L33" s="23" t="n"/>
      <c r="M33" s="23" t="n"/>
      <c r="N33" s="23" t="n"/>
      <c r="O33" s="25">
        <f>IF(OR(D33="Khác hẳn mô tả",D33="Không làm được / bị kẹt",H33="Khác hẳn mô tả",H33="Không làm được / bị kẹt",L33="Khác hẳn mô tả",L33="Không làm được / bị kẹt"),"⚠","")</f>
        <v/>
      </c>
    </row>
    <row r="34" ht="30" customHeight="1">
      <c r="A34" s="7" t="n">
        <v>22</v>
      </c>
      <c r="B34" s="7" t="inlineStr">
        <is>
          <t>Tìm phần việc hằng ngày và tick thử.</t>
        </is>
      </c>
      <c r="C34" s="7" t="inlineStr">
        <is>
          <t>Tick được. Nếu chưa có việc nào thì hiện dòng báo chưa có — ghi lại chính xác dòng chữ đó.</t>
        </is>
      </c>
      <c r="D34" s="23" t="n"/>
      <c r="E34" s="23" t="n"/>
      <c r="F34" s="23" t="n"/>
      <c r="G34" s="24" t="n"/>
      <c r="H34" s="23" t="n"/>
      <c r="I34" s="23" t="n"/>
      <c r="J34" s="23" t="n"/>
      <c r="K34" s="24" t="n"/>
      <c r="L34" s="23" t="n"/>
      <c r="M34" s="23" t="n"/>
      <c r="N34" s="23" t="n"/>
      <c r="O34" s="25">
        <f>IF(OR(D34="Khác hẳn mô tả",D34="Không làm được / bị kẹt",H34="Khác hẳn mô tả",H34="Không làm được / bị kẹt",L34="Khác hẳn mô tả",L34="Không làm được / bị kẹt"),"⚠","")</f>
        <v/>
      </c>
    </row>
    <row r="35" ht="30" customHeight="1">
      <c r="A35" s="7" t="n">
        <v>23</v>
      </c>
      <c r="B35" s="7" t="inlineStr">
        <is>
          <t>Mở “Thời khoá biểu”.</t>
        </is>
      </c>
      <c r="C35" s="7" t="inlineStr">
        <is>
          <t>Thời khoá biểu của lớp 6A2.</t>
        </is>
      </c>
      <c r="D35" s="23" t="n"/>
      <c r="E35" s="23" t="n"/>
      <c r="F35" s="23" t="n"/>
      <c r="G35" s="24" t="n"/>
      <c r="H35" s="23" t="n"/>
      <c r="I35" s="23" t="n"/>
      <c r="J35" s="23" t="n"/>
      <c r="K35" s="24" t="n"/>
      <c r="L35" s="23" t="n"/>
      <c r="M35" s="23" t="n"/>
      <c r="N35" s="23" t="n"/>
      <c r="O35" s="25">
        <f>IF(OR(D35="Khác hẳn mô tả",D35="Không làm được / bị kẹt",H35="Khác hẳn mô tả",H35="Không làm được / bị kẹt",L35="Khác hẳn mô tả",L35="Không làm được / bị kẹt"),"⚠","")</f>
        <v/>
      </c>
    </row>
    <row r="36" ht="30" customHeight="1">
      <c r="A36" s="26" t="n">
        <v>24</v>
      </c>
      <c r="B36" s="27" t="inlineStr">
        <is>
          <t>⚠ CỐ TÌNH LÀM SAI — Gõ thẳng vào thanh địa chỉ: class.vietanh.org/admin rồi Enter.</t>
        </is>
      </c>
      <c r="C36" s="26" t="inlineStr">
        <is>
          <t>App phải chặn. Nếu mở được màn quản trị — dừng đợt thử và báo ngay.</t>
        </is>
      </c>
      <c r="D36" s="23" t="n"/>
      <c r="E36" s="23" t="n"/>
      <c r="F36" s="23" t="n"/>
      <c r="G36" s="24" t="n"/>
      <c r="H36" s="23" t="n"/>
      <c r="I36" s="23" t="n"/>
      <c r="J36" s="23" t="n"/>
      <c r="K36" s="24" t="n"/>
      <c r="L36" s="23" t="n"/>
      <c r="M36" s="23" t="n"/>
      <c r="N36" s="23" t="n"/>
      <c r="O36" s="25">
        <f>IF(OR(D36="Khác hẳn mô tả",D36="Không làm được / bị kẹt",H36="Khác hẳn mô tả",H36="Không làm được / bị kẹt",L36="Khác hẳn mô tả",L36="Không làm được / bị kẹt"),"⚠","")</f>
        <v/>
      </c>
    </row>
    <row r="38" ht="22" customHeight="1">
      <c r="A38" s="3" t="inlineStr">
        <is>
          <t>NHẬT KÝ TỰ DO — ghi bất cứ điều gì xảy ra ngoài các chặng ở trên</t>
        </is>
      </c>
    </row>
    <row r="39">
      <c r="A39" s="30" t="inlineStr">
        <is>
          <t>Vòng</t>
        </is>
      </c>
      <c r="B39" s="30" t="inlineStr">
        <is>
          <t>Màn hình nào</t>
        </is>
      </c>
      <c r="C39" s="30" t="inlineStr">
        <is>
          <t>Chuyện gì xảy ra</t>
        </is>
      </c>
      <c r="E39" s="30" t="inlineStr">
        <is>
          <t>Nặng hay nhẹ</t>
        </is>
      </c>
      <c r="F39" s="30" t="inlineStr">
        <is>
          <t>Bạn mong nó phải thế nào</t>
        </is>
      </c>
    </row>
    <row r="40" ht="26" customHeight="1">
      <c r="A40" s="23" t="n"/>
      <c r="B40" s="23" t="n"/>
      <c r="C40" s="23" t="n"/>
      <c r="E40" s="23" t="n"/>
      <c r="F40" s="23" t="n"/>
    </row>
    <row r="41" ht="26" customHeight="1">
      <c r="A41" s="23" t="n"/>
      <c r="B41" s="23" t="n"/>
      <c r="C41" s="23" t="n"/>
      <c r="E41" s="23" t="n"/>
      <c r="F41" s="23" t="n"/>
    </row>
    <row r="42" ht="26" customHeight="1">
      <c r="A42" s="23" t="n"/>
      <c r="B42" s="23" t="n"/>
      <c r="C42" s="23" t="n"/>
      <c r="E42" s="23" t="n"/>
      <c r="F42" s="23" t="n"/>
    </row>
    <row r="43" ht="26" customHeight="1">
      <c r="A43" s="23" t="n"/>
      <c r="B43" s="23" t="n"/>
      <c r="C43" s="23" t="n"/>
      <c r="E43" s="23" t="n"/>
      <c r="F43" s="23" t="n"/>
    </row>
    <row r="44" ht="26" customHeight="1">
      <c r="A44" s="23" t="n"/>
      <c r="B44" s="23" t="n"/>
      <c r="C44" s="23" t="n"/>
      <c r="E44" s="23" t="n"/>
      <c r="F44" s="23" t="n"/>
    </row>
    <row r="45" ht="26" customHeight="1">
      <c r="A45" s="23" t="n"/>
      <c r="B45" s="23" t="n"/>
      <c r="C45" s="23" t="n"/>
      <c r="E45" s="23" t="n"/>
      <c r="F45" s="23" t="n"/>
    </row>
    <row r="46" ht="26" customHeight="1">
      <c r="A46" s="23" t="n"/>
      <c r="B46" s="23" t="n"/>
      <c r="C46" s="23" t="n"/>
      <c r="E46" s="23" t="n"/>
      <c r="F46" s="23" t="n"/>
    </row>
    <row r="47" ht="26" customHeight="1">
      <c r="A47" s="23" t="n"/>
      <c r="B47" s="23" t="n"/>
      <c r="C47" s="23" t="n"/>
      <c r="E47" s="23" t="n"/>
      <c r="F47" s="23" t="n"/>
    </row>
    <row r="48" ht="26" customHeight="1">
      <c r="A48" s="23" t="n"/>
      <c r="B48" s="23" t="n"/>
      <c r="C48" s="23" t="n"/>
      <c r="E48" s="23" t="n"/>
      <c r="F48" s="23" t="n"/>
    </row>
    <row r="49" ht="26" customHeight="1">
      <c r="A49" s="23" t="n"/>
      <c r="B49" s="23" t="n"/>
      <c r="C49" s="23" t="n"/>
      <c r="E49" s="23" t="n"/>
      <c r="F49" s="23" t="n"/>
    </row>
    <row r="50" ht="26" customHeight="1">
      <c r="A50" s="23" t="n"/>
      <c r="B50" s="23" t="n"/>
      <c r="C50" s="23" t="n"/>
      <c r="E50" s="23" t="n"/>
      <c r="F50" s="23" t="n"/>
    </row>
    <row r="51" ht="26" customHeight="1">
      <c r="A51" s="23" t="n"/>
      <c r="B51" s="23" t="n"/>
      <c r="C51" s="23" t="n"/>
      <c r="E51" s="23" t="n"/>
      <c r="F51" s="23" t="n"/>
    </row>
    <row r="53" ht="22" customHeight="1">
      <c r="A53" s="3" t="inlineStr">
        <is>
          <t>CÂU HỎI CUỐI — trả lời sau khi đã thử hết</t>
        </is>
      </c>
    </row>
    <row r="54" ht="42" customHeight="1">
      <c r="A54" s="7" t="inlineStr">
        <is>
          <t>1. Sau khi dùng thử, bạn mô tả app này cho một đồng nghiệp chưa biết gì bằng 2–3 câu như thế nào?</t>
        </is>
      </c>
      <c r="D54" s="23" t="n"/>
    </row>
    <row r="55" ht="42" customHeight="1">
      <c r="A55" s="7" t="inlineStr">
        <is>
          <t>2. Với vai QUẢN TRỊ VIÊN: dựng một cơ sở mới từ số không mất bao lâu? Bước nào rối nhất?</t>
        </is>
      </c>
      <c r="D55" s="23" t="n"/>
    </row>
    <row r="56" ht="42" customHeight="1">
      <c r="A56" s="7" t="inlineStr">
        <is>
          <t>3. Với vai QUẢN TRỊ VIÊN: nếu một giáo viên mới vào trường ngày mai, bạn có tự tin làm được đủ các bước để họ dùng được app không?</t>
        </is>
      </c>
      <c r="D56" s="23" t="n"/>
    </row>
    <row r="57" ht="42" customHeight="1">
      <c r="A57" s="7" t="inlineStr">
        <is>
          <t>4. Với vai QUẢN TRỊ VIÊN: chỗ nào bạn sợ bấm nhầm là hỏng dữ liệu?</t>
        </is>
      </c>
      <c r="D57" s="23" t="n"/>
    </row>
    <row r="58" ht="42" customHeight="1">
      <c r="A58" s="7" t="inlineStr">
        <is>
          <t>5. Với vai GIÁO VIÊN CHỦ NHIỆM: so với vai quản trị viên, màn giáo viên có gọn hơn và dễ hơn không?</t>
        </is>
      </c>
      <c r="D58" s="23" t="n"/>
    </row>
    <row r="59" ht="42" customHeight="1">
      <c r="A59" s="7" t="inlineStr">
        <is>
          <t>6. Với vai HỌC SINH: app có gì khiến một em học sinh muốn mở lại vào ngày hôm sau không?</t>
        </is>
      </c>
      <c r="D59" s="23" t="n"/>
    </row>
    <row r="60" ht="42" customHeight="1">
      <c r="A60" s="7" t="inlineStr">
        <is>
          <t>7. Chữ nghĩa trong app có chỗ nào khó hiểu hoặc dùng từ lạ không?</t>
        </is>
      </c>
      <c r="D60" s="23" t="n"/>
    </row>
    <row r="61" ht="42" customHeight="1">
      <c r="A61" s="6" t="inlineStr">
        <is>
          <t>8. NẾU CHỈ ĐƯỢC SỬA MỘT THỨ trước khi dùng thật cho cả trường — bạn sửa gì? Vì sao?</t>
        </is>
      </c>
      <c r="D61" s="23" t="n"/>
    </row>
  </sheetData>
  <mergeCells count="99">
    <mergeCell ref="A25:O25"/>
    <mergeCell ref="F46:O46"/>
    <mergeCell ref="A43"/>
    <mergeCell ref="E41"/>
    <mergeCell ref="F39:O39"/>
    <mergeCell ref="A57:C57"/>
    <mergeCell ref="E43"/>
    <mergeCell ref="C41:D41"/>
    <mergeCell ref="C50:D50"/>
    <mergeCell ref="B46"/>
    <mergeCell ref="E42"/>
    <mergeCell ref="C43:D43"/>
    <mergeCell ref="A38:O38"/>
    <mergeCell ref="B48"/>
    <mergeCell ref="E44"/>
    <mergeCell ref="A31:O31"/>
    <mergeCell ref="F51:O51"/>
    <mergeCell ref="B8"/>
    <mergeCell ref="F41:O41"/>
    <mergeCell ref="A50"/>
    <mergeCell ref="F50:O50"/>
    <mergeCell ref="E46"/>
    <mergeCell ref="K8"/>
    <mergeCell ref="D57:O57"/>
    <mergeCell ref="L8:N8"/>
    <mergeCell ref="C45:D45"/>
    <mergeCell ref="A55:C55"/>
    <mergeCell ref="A44"/>
    <mergeCell ref="B45"/>
    <mergeCell ref="E47"/>
    <mergeCell ref="A40"/>
    <mergeCell ref="A2:O2"/>
    <mergeCell ref="C47:D47"/>
    <mergeCell ref="F49:O49"/>
    <mergeCell ref="B47"/>
    <mergeCell ref="A51"/>
    <mergeCell ref="C40:D40"/>
    <mergeCell ref="D55:O55"/>
    <mergeCell ref="G8"/>
    <mergeCell ref="D5:O5"/>
    <mergeCell ref="F40:O40"/>
    <mergeCell ref="B39"/>
    <mergeCell ref="A58:C58"/>
    <mergeCell ref="D54:O54"/>
    <mergeCell ref="D60:O60"/>
    <mergeCell ref="A60:C60"/>
    <mergeCell ref="E49"/>
    <mergeCell ref="A42"/>
    <mergeCell ref="A47"/>
    <mergeCell ref="E45"/>
    <mergeCell ref="B49"/>
    <mergeCell ref="B51"/>
    <mergeCell ref="B41"/>
    <mergeCell ref="B50"/>
    <mergeCell ref="A48"/>
    <mergeCell ref="F44:O44"/>
    <mergeCell ref="C44:D44"/>
    <mergeCell ref="D58:O58"/>
    <mergeCell ref="D8:F8"/>
    <mergeCell ref="A53:O53"/>
    <mergeCell ref="C46:D46"/>
    <mergeCell ref="A10:O10"/>
    <mergeCell ref="C51:D51"/>
    <mergeCell ref="H8:J8"/>
    <mergeCell ref="E51"/>
    <mergeCell ref="A41"/>
    <mergeCell ref="C48:D48"/>
    <mergeCell ref="A59:C59"/>
    <mergeCell ref="D59:O59"/>
    <mergeCell ref="F42:O42"/>
    <mergeCell ref="A61:C61"/>
    <mergeCell ref="A1:O1"/>
    <mergeCell ref="A54:C54"/>
    <mergeCell ref="C49:D49"/>
    <mergeCell ref="D6:O6"/>
    <mergeCell ref="A8"/>
    <mergeCell ref="C8"/>
    <mergeCell ref="B40"/>
    <mergeCell ref="C42:D42"/>
    <mergeCell ref="A56:C56"/>
    <mergeCell ref="F48:O48"/>
    <mergeCell ref="F43:O43"/>
    <mergeCell ref="D61:O61"/>
    <mergeCell ref="E50"/>
    <mergeCell ref="A39"/>
    <mergeCell ref="D4:O4"/>
    <mergeCell ref="A49"/>
    <mergeCell ref="D56:O56"/>
    <mergeCell ref="A45"/>
    <mergeCell ref="E39"/>
    <mergeCell ref="B43"/>
    <mergeCell ref="E48"/>
    <mergeCell ref="B42"/>
    <mergeCell ref="C39:D39"/>
    <mergeCell ref="A46"/>
    <mergeCell ref="F45:O45"/>
    <mergeCell ref="E40"/>
    <mergeCell ref="B44"/>
    <mergeCell ref="F47:O47"/>
  </mergeCells>
  <dataValidations count="9">
    <dataValidation sqref="D11:D36" showDropDown="0" showInputMessage="0" showErrorMessage="0" allowBlank="1" type="list">
      <formula1>DS!$A$2:$A$6</formula1>
    </dataValidation>
    <dataValidation sqref="E11:E36" showDropDown="0" showInputMessage="0" showErrorMessage="0" allowBlank="1" type="list">
      <formula1>DS!$B$2:$B$6</formula1>
    </dataValidation>
    <dataValidation sqref="H11:H36" showDropDown="0" showInputMessage="0" showErrorMessage="0" allowBlank="1" type="list">
      <formula1>DS!$A$2:$A$6</formula1>
    </dataValidation>
    <dataValidation sqref="I11:I36" showDropDown="0" showInputMessage="0" showErrorMessage="0" allowBlank="1" type="list">
      <formula1>DS!$B$2:$B$6</formula1>
    </dataValidation>
    <dataValidation sqref="L11:L36" showDropDown="0" showInputMessage="0" showErrorMessage="0" allowBlank="1" type="list">
      <formula1>DS!$A$2:$A$6</formula1>
    </dataValidation>
    <dataValidation sqref="M11:M36" showDropDown="0" showInputMessage="0" showErrorMessage="0" allowBlank="1" type="list">
      <formula1>DS!$B$2:$B$6</formula1>
    </dataValidation>
    <dataValidation sqref="G11:G36" showDropDown="0" showInputMessage="0" showErrorMessage="0" allowBlank="1" type="list">
      <formula1>DS!$C$2:$C$5</formula1>
    </dataValidation>
    <dataValidation sqref="K11:K36" showDropDown="0" showInputMessage="0" showErrorMessage="0" allowBlank="1" type="list">
      <formula1>DS!$C$2:$C$5</formula1>
    </dataValidation>
    <dataValidation sqref="E40:E51" showDropDown="0" showInputMessage="0" showErrorMessage="0" allowBlank="1" type="list">
      <formula1>DS!$D$2:$D$4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30" customWidth="1" min="3" max="3"/>
    <col width="38" customWidth="1" min="4" max="4"/>
    <col width="38" customWidth="1" min="5" max="5"/>
    <col width="38" customWidth="1" min="6" max="6"/>
    <col width="46" customWidth="1" min="7" max="7"/>
    <col width="30" customWidth="1" min="8" max="8"/>
    <col width="15" customWidth="1" min="9" max="9"/>
    <col width="34" customWidth="1" min="10" max="10"/>
  </cols>
  <sheetData>
    <row r="1" ht="30" customHeight="1">
      <c r="A1" s="1" t="inlineStr">
        <is>
          <t>KỊCH BẢN PHỐI HỢP — cần cả ba người cùng mở app một lúc</t>
        </is>
      </c>
    </row>
    <row r="2" ht="20" customHeight="1">
      <c r="A2" s="2" t="inlineStr">
        <is>
          <t>Hẹn nhau một khung giờ. Mỗi kịch bản làm đúng thứ tự, đọc kết quả phải thấy rồi mới sang kịch bản kế.</t>
        </is>
      </c>
    </row>
    <row r="4" ht="32" customHeight="1">
      <c r="A4" s="18" t="inlineStr">
        <is>
          <t>Mã</t>
        </is>
      </c>
      <c r="B4" s="18" t="inlineStr">
        <is>
          <t>Loại</t>
        </is>
      </c>
      <c r="C4" s="18" t="inlineStr">
        <is>
          <t>Tên kịch bản</t>
        </is>
      </c>
      <c r="D4" s="18" t="inlineStr">
        <is>
          <t>NGƯỜI 1 làm gì</t>
        </is>
      </c>
      <c r="E4" s="18" t="inlineStr">
        <is>
          <t>NGƯỜI 2 làm gì</t>
        </is>
      </c>
      <c r="F4" s="18" t="inlineStr">
        <is>
          <t>NGƯỜI 3 làm gì</t>
        </is>
      </c>
      <c r="G4" s="18" t="inlineStr">
        <is>
          <t>KẾT QUẢ PHẢI THẤY</t>
        </is>
      </c>
      <c r="H4" s="18" t="inlineStr">
        <is>
          <t>Lưu ý</t>
        </is>
      </c>
      <c r="I4" s="18" t="inlineStr">
        <is>
          <t>Kết quả thực tế</t>
        </is>
      </c>
      <c r="J4" s="18" t="inlineStr">
        <is>
          <t>Ghi chú của cả nhóm</t>
        </is>
      </c>
    </row>
    <row r="5" ht="70" customHeight="1">
      <c r="A5" s="6" t="inlineStr">
        <is>
          <t>KB1</t>
        </is>
      </c>
      <c r="B5" s="31" t="inlineStr">
        <is>
          <t>RANH GIỚI DỮ LIỆU</t>
        </is>
      </c>
      <c r="C5" s="6" t="inlineStr">
        <is>
          <t>Ban giám hiệu không được thấy lớp của cơ sở khác</t>
        </is>
      </c>
      <c r="D5" s="7" t="inlineStr">
        <is>
          <t>Đăng nhập vai GIÁO VIÊN CHỦ NHIỆM 7B1. Mở “Danh sách”, ghi lại TÊN LỚP mình đang phụ trách.</t>
        </is>
      </c>
      <c r="E5" s="7" t="inlineStr">
        <is>
          <t>Đăng nhập vai BAN GIÁM HIỆU. Mở “Cơ sở”. ĐẾM số lớp trong bảng và ghi lại TÊN từng lớp.</t>
        </is>
      </c>
      <c r="F5" s="7" t="inlineStr">
        <is>
          <t>Đăng nhập vai QUẢN TRỊ VIÊN. Mở “Quản trị” → phần “Lớp &amp; Cơ sở”. ĐẾM tổng số lớp trong toàn hệ thống.</t>
        </is>
      </c>
      <c r="G5" s="7" t="inlineStr">
        <is>
          <t>Số lớp Người 2 đếm được phải NHỎ HƠN số lớp Người 3 đếm được. Trong danh sách của Người 2 chỉ được có lớp thuộc cơ sở Việt Anh Quận 2. Hai lớp 6A1 và 6A2 (cơ sở Gò Vấp) KHÔNG được xuất hiện.</t>
        </is>
      </c>
      <c r="H5" s="32" t="inlineStr">
        <is>
          <t>Nếu Người 2 thấy bất kỳ lớp nào của cơ sở Gò Vấp — DỪNG TOÀN BỘ ĐỢT THỬ và báo ngay. Đây là lỗi rò rỉ dữ liệu.</t>
        </is>
      </c>
      <c r="I5" s="23" t="n"/>
      <c r="J5" s="23" t="n"/>
    </row>
    <row r="6" ht="70" customHeight="1">
      <c r="A6" s="6" t="inlineStr">
        <is>
          <t>KB2</t>
        </is>
      </c>
      <c r="B6" s="31" t="inlineStr">
        <is>
          <t>RANH GIỚI DỮ LIỆU</t>
        </is>
      </c>
      <c r="C6" s="6" t="inlineStr">
        <is>
          <t>Hai phụ huynh có con HỌC CÙNG MỘT LỚP</t>
        </is>
      </c>
      <c r="D6" s="7" t="inlineStr">
        <is>
          <t>Đăng nhập vai PHỤ HUYNH. Mở “Báo cáo”. ĐẾM số học sinh được nhắc tới và ghi TÊN em đó.</t>
        </is>
      </c>
      <c r="E6" s="7" t="inlineStr">
        <is>
          <t>Đăng nhập vai PHỤ HUYNH. Mở “Báo cáo”. ĐẾM số học sinh được nhắc tới và ghi TÊN em đó.</t>
        </is>
      </c>
      <c r="F6" s="7" t="inlineStr">
        <is>
          <t>Đăng nhập vai QUẢN TRỊ VIÊN. Mở “Danh sách” lớp 7B1. ĐẾM tổng số học sinh trong lớp.</t>
        </is>
      </c>
      <c r="G6" s="7" t="inlineStr">
        <is>
          <t>Người 1 và Người 2 mỗi người phải đếm được ĐÚNG 1 học sinh, và hai cái tên đó phải KHÁC NHAU. Người 3 đếm được nhiều hơn (cả lớp). Con của hai người này học cùng lớp 7B1 — đây chính là phép thử khó nhất.</t>
        </is>
      </c>
      <c r="H6" s="32" t="inlineStr">
        <is>
          <t>Nếu một phụ huynh thấy từ 2 học sinh trở lên, hoặc thấy tên con của người kia — DỪNG ĐỢT THỬ và báo ngay.</t>
        </is>
      </c>
      <c r="I6" s="23" t="n"/>
      <c r="J6" s="23" t="n"/>
    </row>
    <row r="7" ht="70" customHeight="1">
      <c r="A7" s="6" t="inlineStr">
        <is>
          <t>KB3</t>
        </is>
      </c>
      <c r="B7" s="33" t="inlineStr">
        <is>
          <t>CHUYỀN TAY</t>
        </is>
      </c>
      <c r="C7" s="6" t="inlineStr">
        <is>
          <t>Điểm danh của giáo viên hiện lên bảng của ban giám hiệu</t>
        </is>
      </c>
      <c r="D7" s="7" t="inlineStr">
        <is>
          <t>Đăng nhập vai GIÁO VIÊN CHỦ NHIỆM 7B1. Mở “Điểm danh”, đánh dấu đủ cả lớp rồi bấm “Lưu điểm danh”. Báo cho hai người kia biết là đã lưu xong.</t>
        </is>
      </c>
      <c r="E7" s="7" t="inlineStr">
        <is>
          <t>TRƯỚC khi Người 1 lưu: mở “Cơ sở”, ghi lại con số ở cột “Điểm danh hôm nay” của lớp 7B1. SAU khi Người 1 báo xong: tải lại trang và ghi con số mới.</t>
        </is>
      </c>
      <c r="F7" s="7" t="inlineStr">
        <is>
          <t>Đăng nhập vai GIÁO VIÊN CHỦ NHIỆM 6A2. Trước và sau khi Người 1 lưu, mở “Danh sách” lớp mình và ghi lại tình hình lớp 6A2.</t>
        </is>
      </c>
      <c r="G7" s="7" t="inlineStr">
        <is>
          <t>Con số của Người 2 phải TĂNG sau khi Người 1 lưu. Lớp 6A2 của Người 3 phải KHÔNG đổi gì cả.</t>
        </is>
      </c>
      <c r="H7" s="32" t="inlineStr">
        <is>
          <t>Nếu số của Người 2 không đổi: có thể app không cập nhật, hoặc phải tải lại trang mới thấy — ghi rõ bạn có phải tải lại không.</t>
        </is>
      </c>
      <c r="I7" s="23" t="n"/>
      <c r="J7" s="23" t="n"/>
    </row>
    <row r="8" ht="70" customHeight="1">
      <c r="A8" s="6" t="inlineStr">
        <is>
          <t>KB4</t>
        </is>
      </c>
      <c r="B8" s="33" t="inlineStr">
        <is>
          <t>CHUYỀN TAY</t>
        </is>
      </c>
      <c r="C8" s="6" t="inlineStr">
        <is>
          <t>Học sinh tổ trưởng điểm danh thay giáo viên</t>
        </is>
      </c>
      <c r="D8" s="7" t="inlineStr">
        <is>
          <t>Đăng nhập vai HỌC SINH (tổ trưởng). Mở “Điểm danh”, đánh dấu vài bạn rồi lưu. Sau đó đăng xuất, đăng nhập lại vai GIÁO VIÊN CHỦ NHIỆM và mở “Điểm danh” xem có thấy kết quả em vừa ghi không.</t>
        </is>
      </c>
      <c r="E8" s="7" t="inlineStr">
        <is>
          <t>Đăng nhập vai HỌC SINH THƯỜNG (cùng lớp 7B1). Nhìn thanh menu và ghi lại các mục bạn thấy.</t>
        </is>
      </c>
      <c r="F8" s="7" t="inlineStr">
        <is>
          <t>Đăng nhập vai QUẢN TRỊ VIÊN. Mở “Điểm danh” lớp 7B1 và ghi lại tình trạng hiện tại.</t>
        </is>
      </c>
      <c r="G8" s="7" t="inlineStr">
        <is>
          <t>Giáo viên (Người 1) phải thấy đúng kết quả mà em tổ trưởng vừa ghi. Học sinh thường (Người 2) TUYỆT ĐỐI không có mục “Điểm danh” trên menu. Quản trị viên (Người 3) thấy giống giáo viên.</t>
        </is>
      </c>
      <c r="H8" s="32" t="inlineStr">
        <is>
          <t>Nếu học sinh thường thấy mục “Điểm danh” — báo ngay, quyền đang bị mở rộng hơn dự tính.</t>
        </is>
      </c>
      <c r="I8" s="23" t="n"/>
      <c r="J8" s="23" t="n"/>
    </row>
    <row r="9" ht="70" customHeight="1">
      <c r="A9" s="6" t="inlineStr">
        <is>
          <t>KB5</t>
        </is>
      </c>
      <c r="B9" s="33" t="inlineStr">
        <is>
          <t>CHUYỀN TAY</t>
        </is>
      </c>
      <c r="C9" s="6" t="inlineStr">
        <is>
          <t>Việc giáo viên giao hiện lên máy học sinh</t>
        </is>
      </c>
      <c r="D9" s="7" t="inlineStr">
        <is>
          <t>Đăng nhập vai GIÁO VIÊN CHỦ NHIỆM 7B1. Mở “WIG”, tạo một WIG tuần mới và thêm một việc cần làm (lead measure) với tên dễ nhận ra, ví dụ “ĐỌC SÁCH TEST”. Báo cho hai người kia.</t>
        </is>
      </c>
      <c r="E9" s="7" t="inlineStr">
        <is>
          <t>Đăng nhập vai HỌC SINH lớp 7B1. Mở “Bảng điểm của tôi”, tìm xem có việc “ĐỌC SÁCH TEST” không. Nếu có thì tick thử.</t>
        </is>
      </c>
      <c r="F9" s="7" t="inlineStr">
        <is>
          <t>Đăng nhập vai HỌC SINH lớp 6A2. Mở “Bảng điểm của tôi”, tìm xem có việc “ĐỌC SÁCH TEST” không.</t>
        </is>
      </c>
      <c r="G9" s="7" t="inlineStr">
        <is>
          <t>Học sinh lớp 7B1 (Người 2) PHẢI thấy việc mới. Học sinh lớp 6A2 (Người 3) TUYỆT ĐỐI KHÔNG được thấy — vì đó là lớp khác, cơ sở khác.</t>
        </is>
      </c>
      <c r="H9" s="32" t="inlineStr">
        <is>
          <t>Nếu học sinh lớp 6A2 thấy việc của lớp 7B1 — DỪNG ĐỢT THỬ và báo ngay.</t>
        </is>
      </c>
      <c r="I9" s="23" t="n"/>
      <c r="J9" s="23" t="n"/>
    </row>
    <row r="10" ht="70" customHeight="1">
      <c r="A10" s="6" t="inlineStr">
        <is>
          <t>KB6</t>
        </is>
      </c>
      <c r="B10" s="34" t="inlineStr">
        <is>
          <t>CÙNG LÚC</t>
        </is>
      </c>
      <c r="C10" s="6" t="inlineStr">
        <is>
          <t>Hai người cùng sửa một mục tiêu</t>
        </is>
      </c>
      <c r="D10" s="7" t="inlineStr">
        <is>
          <t>Đăng nhập vai GIÁO VIÊN CHỦ NHIỆM 7B1. Mở “WIG”, bấm sửa một WIG. Đổi ô “Đến (mục tiêu)” thành 100. KHOAN bấm lưu — đếm 1-2-3 cùng Người 3 rồi cả hai bấm lưu một lúc.</t>
        </is>
      </c>
      <c r="E10" s="7" t="inlineStr">
        <is>
          <t>Quan sát và bấm giờ. Ghi lại: ai bấm trước, cách nhau bao lâu.</t>
        </is>
      </c>
      <c r="F10" s="7" t="inlineStr">
        <is>
          <t>Đăng nhập vai QUẢN TRỊ VIÊN. Mở đúng WIG đó của lớp 7B1, đổi ô “Đến (mục tiêu)” thành 200. Cùng đếm 1-2-3 với Người 1 rồi bấm lưu.</t>
        </is>
      </c>
      <c r="G10" s="7" t="inlineStr">
        <is>
          <t>Sau khi cả hai lưu xong, cả ba cùng tải lại trang. Con số cuối cùng phải GIỐNG NHAU trên cả ba máy — không được máy này 100 máy kia 200. Ghi lại con số cuối là bao nhiêu.</t>
        </is>
      </c>
      <c r="H10" s="32" t="inlineStr">
        <is>
          <t>Ghi rõ: app có báo gì cho người bị ghi đè không, hay lặng lẽ lấy người bấm sau? Bạn thấy cách xử lý đó chấp nhận được chưa?</t>
        </is>
      </c>
      <c r="I10" s="23" t="n"/>
      <c r="J10" s="23" t="n"/>
    </row>
    <row r="11" ht="70" customHeight="1">
      <c r="A11" s="6" t="inlineStr">
        <is>
          <t>KB7</t>
        </is>
      </c>
      <c r="B11" s="34" t="inlineStr">
        <is>
          <t>CÙNG LÚC</t>
        </is>
      </c>
      <c r="C11" s="6" t="inlineStr">
        <is>
          <t>Hai người cùng điểm danh một lớp</t>
        </is>
      </c>
      <c r="D11" s="7" t="inlineStr">
        <is>
          <t>Đăng nhập vai GIÁO VIÊN CHỦ NHIỆM 7B1. Mở “Điểm danh”. Đánh dấu em đầu danh sách là “Vắng”. Cùng đếm 1-2-3 với Người 3 rồi bấm lưu.</t>
        </is>
      </c>
      <c r="E11" s="7" t="inlineStr">
        <is>
          <t>Quan sát cả hai màn hình và ghi lại chuyện gì xảy ra.</t>
        </is>
      </c>
      <c r="F11" s="7" t="inlineStr">
        <is>
          <t>Đăng nhập vai QUẢN TRỊ VIÊN. Mở “Điểm danh” lớp 7B1. Đánh dấu CHÍNH EM ĐÓ là “Có mặt”. Cùng đếm 1-2-3 rồi bấm lưu.</t>
        </is>
      </c>
      <c r="G11" s="7" t="inlineStr">
        <is>
          <t>Sau khi cả hai lưu, cùng tải lại trang. Trạng thái của em đó phải giống nhau trên cả hai máy.</t>
        </is>
      </c>
      <c r="H11" s="32" t="inlineStr">
        <is>
          <t>Đây là tình huống có thật: giáo viên và tổ trưởng cùng điểm danh một lúc. Ghi rõ app xử lý thế nào.</t>
        </is>
      </c>
      <c r="I11" s="23" t="n"/>
      <c r="J11" s="23" t="n"/>
    </row>
    <row r="12" ht="169" customHeight="1">
      <c r="A12" s="6" t="inlineStr">
        <is>
          <t>KB8</t>
        </is>
      </c>
      <c r="B12" s="34" t="inlineStr">
        <is>
          <t>HỎI Ý TRƯỜNG</t>
        </is>
      </c>
      <c r="C12" s="6" t="inlineStr">
        <is>
          <t>Phân quyền hiện tại có đúng ý trường chưa?</t>
        </is>
      </c>
      <c r="D12" s="7" t="inlineStr">
        <is>
          <t>Đọc và trả lời phần bên phải theo góc nhìn giáo viên.</t>
        </is>
      </c>
      <c r="E12" s="7" t="inlineStr">
        <is>
          <t>Đọc và trả lời phần bên phải theo góc nhìn ban giám hiệu.</t>
        </is>
      </c>
      <c r="F12" s="7" t="inlineStr">
        <is>
          <t>Đọc và trả lời phần bên phải theo góc nhìn quản trị viên.</t>
        </is>
      </c>
      <c r="G12" s="7" t="inlineStr">
        <is>
          <t>Đây KHÔNG phải phép thử đúng-sai mà là câu hỏi cho trường quyết định. Cả ba cùng bàn rồi mỗi người ghi ý mình:
(1) Ban giám hiệu hiện KHÔNG có mục Điểm danh, WIG và Họp WIG — có đúng ý trường không?
(2) Ban giám hiệu KHÔNG sửa được điểm danh, chỉ xem. Đúng chưa?
(3) Học sinh tổ trưởng ghi được điểm danh CẢ LỚP (chỉ trong ngày hôm nay). Trường có thấy an tâm không?
(4) Phụ huynh chỉ xem, không nhắn lại được cho giáo viên. Có cần thêm đường phản hồi không?
(5) Giáo viên chủ nhiệm sửa được điểm danh lùi 6 ngày. Con số 6 ngày có hợp lý không?</t>
        </is>
      </c>
      <c r="H12" s="32" t="inlineStr">
        <is>
          <t>Không có đáp án đúng. Ghi thật ý của mình.</t>
        </is>
      </c>
      <c r="I12" s="23" t="n"/>
      <c r="J12" s="23" t="n"/>
    </row>
  </sheetData>
  <mergeCells count="2">
    <mergeCell ref="A1:J1"/>
    <mergeCell ref="A2:J2"/>
  </mergeCells>
  <dataValidations count="1">
    <dataValidation sqref="I5:I12" showDropDown="0" showInputMessage="0" showErrorMessage="0" allowBlank="1" type="list">
      <formula1>DS!$A$2:$A$6</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4"/>
  <sheetViews>
    <sheetView workbookViewId="0">
      <pane ySplit="4" topLeftCell="A5" activePane="bottomLeft" state="frozen"/>
      <selection pane="bottomLeft" activeCell="A1" sqref="A1"/>
    </sheetView>
  </sheetViews>
  <sheetFormatPr baseColWidth="8" defaultRowHeight="15"/>
  <cols>
    <col width="9" customWidth="1" min="1" max="1"/>
    <col width="10" customWidth="1" min="2" max="2"/>
    <col width="15" customWidth="1" min="3" max="3"/>
    <col width="22" customWidth="1" min="4" max="4"/>
    <col width="46" customWidth="1" min="5" max="5"/>
    <col width="18" customWidth="1" min="6" max="6"/>
    <col width="40" customWidth="1" min="7" max="7"/>
    <col width="20" customWidth="1" min="8" max="8"/>
    <col width="12" customWidth="1" min="9" max="9"/>
    <col width="34" customWidth="1" min="10" max="10"/>
  </cols>
  <sheetData>
    <row r="1" ht="30" customHeight="1">
      <c r="A1" s="1" t="inlineStr">
        <is>
          <t>SỔ LỖI — theo dõi xuyên suốt mọi vòng thử</t>
        </is>
      </c>
    </row>
    <row r="2" ht="20" customHeight="1">
      <c r="A2" s="2" t="inlineStr">
        <is>
          <t>Mỗi lỗi ghi MỘT dòng, giữ nguyên dòng đó qua các vòng và cập nhật cột Trạng thái cho tới khi xong.</t>
        </is>
      </c>
    </row>
    <row r="4" ht="32" customHeight="1">
      <c r="A4" s="18" t="inlineStr">
        <is>
          <t>Mã lỗi</t>
        </is>
      </c>
      <c r="B4" s="18" t="inlineStr">
        <is>
          <t>Vòng phát hiện</t>
        </is>
      </c>
      <c r="C4" s="18" t="inlineStr">
        <is>
          <t>Ai báo</t>
        </is>
      </c>
      <c r="D4" s="18" t="inlineStr">
        <is>
          <t>Màn hình nào</t>
        </is>
      </c>
      <c r="E4" s="18" t="inlineStr">
        <is>
          <t>Chuyện gì xảy ra</t>
        </is>
      </c>
      <c r="F4" s="18" t="inlineStr">
        <is>
          <t>Nặng hay nhẹ</t>
        </is>
      </c>
      <c r="G4" s="18" t="inlineStr">
        <is>
          <t>Bạn mong nó phải thế nào</t>
        </is>
      </c>
      <c r="H4" s="18" t="inlineStr">
        <is>
          <t>Trạng thái</t>
        </is>
      </c>
      <c r="I4" s="18" t="inlineStr">
        <is>
          <t>Vòng đã kiểm lại</t>
        </is>
      </c>
      <c r="J4" s="18" t="inlineStr">
        <is>
          <t>Ghi chú của người sửa</t>
        </is>
      </c>
    </row>
    <row r="5" ht="26" customHeight="1">
      <c r="A5" s="35" t="inlineStr">
        <is>
          <t>L01</t>
        </is>
      </c>
      <c r="B5" s="23" t="n"/>
      <c r="C5" s="23" t="n"/>
      <c r="D5" s="23" t="n"/>
      <c r="E5" s="23" t="n"/>
      <c r="F5" s="23" t="n"/>
      <c r="G5" s="23" t="n"/>
      <c r="H5" s="23" t="n"/>
      <c r="I5" s="23" t="n"/>
      <c r="J5" s="23" t="n"/>
    </row>
    <row r="6" ht="26" customHeight="1">
      <c r="A6" s="35" t="inlineStr">
        <is>
          <t>L02</t>
        </is>
      </c>
      <c r="B6" s="23" t="n"/>
      <c r="C6" s="23" t="n"/>
      <c r="D6" s="23" t="n"/>
      <c r="E6" s="23" t="n"/>
      <c r="F6" s="23" t="n"/>
      <c r="G6" s="23" t="n"/>
      <c r="H6" s="23" t="n"/>
      <c r="I6" s="23" t="n"/>
      <c r="J6" s="23" t="n"/>
    </row>
    <row r="7" ht="26" customHeight="1">
      <c r="A7" s="35" t="inlineStr">
        <is>
          <t>L03</t>
        </is>
      </c>
      <c r="B7" s="23" t="n"/>
      <c r="C7" s="23" t="n"/>
      <c r="D7" s="23" t="n"/>
      <c r="E7" s="23" t="n"/>
      <c r="F7" s="23" t="n"/>
      <c r="G7" s="23" t="n"/>
      <c r="H7" s="23" t="n"/>
      <c r="I7" s="23" t="n"/>
      <c r="J7" s="23" t="n"/>
    </row>
    <row r="8" ht="26" customHeight="1">
      <c r="A8" s="35" t="inlineStr">
        <is>
          <t>L04</t>
        </is>
      </c>
      <c r="B8" s="23" t="n"/>
      <c r="C8" s="23" t="n"/>
      <c r="D8" s="23" t="n"/>
      <c r="E8" s="23" t="n"/>
      <c r="F8" s="23" t="n"/>
      <c r="G8" s="23" t="n"/>
      <c r="H8" s="23" t="n"/>
      <c r="I8" s="23" t="n"/>
      <c r="J8" s="23" t="n"/>
    </row>
    <row r="9" ht="26" customHeight="1">
      <c r="A9" s="35" t="inlineStr">
        <is>
          <t>L05</t>
        </is>
      </c>
      <c r="B9" s="23" t="n"/>
      <c r="C9" s="23" t="n"/>
      <c r="D9" s="23" t="n"/>
      <c r="E9" s="23" t="n"/>
      <c r="F9" s="23" t="n"/>
      <c r="G9" s="23" t="n"/>
      <c r="H9" s="23" t="n"/>
      <c r="I9" s="23" t="n"/>
      <c r="J9" s="23" t="n"/>
    </row>
    <row r="10" ht="26" customHeight="1">
      <c r="A10" s="35" t="inlineStr">
        <is>
          <t>L06</t>
        </is>
      </c>
      <c r="B10" s="23" t="n"/>
      <c r="C10" s="23" t="n"/>
      <c r="D10" s="23" t="n"/>
      <c r="E10" s="23" t="n"/>
      <c r="F10" s="23" t="n"/>
      <c r="G10" s="23" t="n"/>
      <c r="H10" s="23" t="n"/>
      <c r="I10" s="23" t="n"/>
      <c r="J10" s="23" t="n"/>
    </row>
    <row r="11" ht="26" customHeight="1">
      <c r="A11" s="35" t="inlineStr">
        <is>
          <t>L07</t>
        </is>
      </c>
      <c r="B11" s="23" t="n"/>
      <c r="C11" s="23" t="n"/>
      <c r="D11" s="23" t="n"/>
      <c r="E11" s="23" t="n"/>
      <c r="F11" s="23" t="n"/>
      <c r="G11" s="23" t="n"/>
      <c r="H11" s="23" t="n"/>
      <c r="I11" s="23" t="n"/>
      <c r="J11" s="23" t="n"/>
    </row>
    <row r="12" ht="26" customHeight="1">
      <c r="A12" s="35" t="inlineStr">
        <is>
          <t>L08</t>
        </is>
      </c>
      <c r="B12" s="23" t="n"/>
      <c r="C12" s="23" t="n"/>
      <c r="D12" s="23" t="n"/>
      <c r="E12" s="23" t="n"/>
      <c r="F12" s="23" t="n"/>
      <c r="G12" s="23" t="n"/>
      <c r="H12" s="23" t="n"/>
      <c r="I12" s="23" t="n"/>
      <c r="J12" s="23" t="n"/>
    </row>
    <row r="13" ht="26" customHeight="1">
      <c r="A13" s="35" t="inlineStr">
        <is>
          <t>L09</t>
        </is>
      </c>
      <c r="B13" s="23" t="n"/>
      <c r="C13" s="23" t="n"/>
      <c r="D13" s="23" t="n"/>
      <c r="E13" s="23" t="n"/>
      <c r="F13" s="23" t="n"/>
      <c r="G13" s="23" t="n"/>
      <c r="H13" s="23" t="n"/>
      <c r="I13" s="23" t="n"/>
      <c r="J13" s="23" t="n"/>
    </row>
    <row r="14" ht="26" customHeight="1">
      <c r="A14" s="35" t="inlineStr">
        <is>
          <t>L10</t>
        </is>
      </c>
      <c r="B14" s="23" t="n"/>
      <c r="C14" s="23" t="n"/>
      <c r="D14" s="23" t="n"/>
      <c r="E14" s="23" t="n"/>
      <c r="F14" s="23" t="n"/>
      <c r="G14" s="23" t="n"/>
      <c r="H14" s="23" t="n"/>
      <c r="I14" s="23" t="n"/>
      <c r="J14" s="23" t="n"/>
    </row>
    <row r="15" ht="26" customHeight="1">
      <c r="A15" s="35" t="inlineStr">
        <is>
          <t>L11</t>
        </is>
      </c>
      <c r="B15" s="23" t="n"/>
      <c r="C15" s="23" t="n"/>
      <c r="D15" s="23" t="n"/>
      <c r="E15" s="23" t="n"/>
      <c r="F15" s="23" t="n"/>
      <c r="G15" s="23" t="n"/>
      <c r="H15" s="23" t="n"/>
      <c r="I15" s="23" t="n"/>
      <c r="J15" s="23" t="n"/>
    </row>
    <row r="16" ht="26" customHeight="1">
      <c r="A16" s="35" t="inlineStr">
        <is>
          <t>L12</t>
        </is>
      </c>
      <c r="B16" s="23" t="n"/>
      <c r="C16" s="23" t="n"/>
      <c r="D16" s="23" t="n"/>
      <c r="E16" s="23" t="n"/>
      <c r="F16" s="23" t="n"/>
      <c r="G16" s="23" t="n"/>
      <c r="H16" s="23" t="n"/>
      <c r="I16" s="23" t="n"/>
      <c r="J16" s="23" t="n"/>
    </row>
    <row r="17" ht="26" customHeight="1">
      <c r="A17" s="35" t="inlineStr">
        <is>
          <t>L13</t>
        </is>
      </c>
      <c r="B17" s="23" t="n"/>
      <c r="C17" s="23" t="n"/>
      <c r="D17" s="23" t="n"/>
      <c r="E17" s="23" t="n"/>
      <c r="F17" s="23" t="n"/>
      <c r="G17" s="23" t="n"/>
      <c r="H17" s="23" t="n"/>
      <c r="I17" s="23" t="n"/>
      <c r="J17" s="23" t="n"/>
    </row>
    <row r="18" ht="26" customHeight="1">
      <c r="A18" s="35" t="inlineStr">
        <is>
          <t>L14</t>
        </is>
      </c>
      <c r="B18" s="23" t="n"/>
      <c r="C18" s="23" t="n"/>
      <c r="D18" s="23" t="n"/>
      <c r="E18" s="23" t="n"/>
      <c r="F18" s="23" t="n"/>
      <c r="G18" s="23" t="n"/>
      <c r="H18" s="23" t="n"/>
      <c r="I18" s="23" t="n"/>
      <c r="J18" s="23" t="n"/>
    </row>
    <row r="19" ht="26" customHeight="1">
      <c r="A19" s="35" t="inlineStr">
        <is>
          <t>L15</t>
        </is>
      </c>
      <c r="B19" s="23" t="n"/>
      <c r="C19" s="23" t="n"/>
      <c r="D19" s="23" t="n"/>
      <c r="E19" s="23" t="n"/>
      <c r="F19" s="23" t="n"/>
      <c r="G19" s="23" t="n"/>
      <c r="H19" s="23" t="n"/>
      <c r="I19" s="23" t="n"/>
      <c r="J19" s="23" t="n"/>
    </row>
    <row r="20" ht="26" customHeight="1">
      <c r="A20" s="35" t="inlineStr">
        <is>
          <t>L16</t>
        </is>
      </c>
      <c r="B20" s="23" t="n"/>
      <c r="C20" s="23" t="n"/>
      <c r="D20" s="23" t="n"/>
      <c r="E20" s="23" t="n"/>
      <c r="F20" s="23" t="n"/>
      <c r="G20" s="23" t="n"/>
      <c r="H20" s="23" t="n"/>
      <c r="I20" s="23" t="n"/>
      <c r="J20" s="23" t="n"/>
    </row>
    <row r="21" ht="26" customHeight="1">
      <c r="A21" s="35" t="inlineStr">
        <is>
          <t>L17</t>
        </is>
      </c>
      <c r="B21" s="23" t="n"/>
      <c r="C21" s="23" t="n"/>
      <c r="D21" s="23" t="n"/>
      <c r="E21" s="23" t="n"/>
      <c r="F21" s="23" t="n"/>
      <c r="G21" s="23" t="n"/>
      <c r="H21" s="23" t="n"/>
      <c r="I21" s="23" t="n"/>
      <c r="J21" s="23" t="n"/>
    </row>
    <row r="22" ht="26" customHeight="1">
      <c r="A22" s="35" t="inlineStr">
        <is>
          <t>L18</t>
        </is>
      </c>
      <c r="B22" s="23" t="n"/>
      <c r="C22" s="23" t="n"/>
      <c r="D22" s="23" t="n"/>
      <c r="E22" s="23" t="n"/>
      <c r="F22" s="23" t="n"/>
      <c r="G22" s="23" t="n"/>
      <c r="H22" s="23" t="n"/>
      <c r="I22" s="23" t="n"/>
      <c r="J22" s="23" t="n"/>
    </row>
    <row r="23" ht="26" customHeight="1">
      <c r="A23" s="35" t="inlineStr">
        <is>
          <t>L19</t>
        </is>
      </c>
      <c r="B23" s="23" t="n"/>
      <c r="C23" s="23" t="n"/>
      <c r="D23" s="23" t="n"/>
      <c r="E23" s="23" t="n"/>
      <c r="F23" s="23" t="n"/>
      <c r="G23" s="23" t="n"/>
      <c r="H23" s="23" t="n"/>
      <c r="I23" s="23" t="n"/>
      <c r="J23" s="23" t="n"/>
    </row>
    <row r="24" ht="26" customHeight="1">
      <c r="A24" s="35" t="inlineStr">
        <is>
          <t>L20</t>
        </is>
      </c>
      <c r="B24" s="23" t="n"/>
      <c r="C24" s="23" t="n"/>
      <c r="D24" s="23" t="n"/>
      <c r="E24" s="23" t="n"/>
      <c r="F24" s="23" t="n"/>
      <c r="G24" s="23" t="n"/>
      <c r="H24" s="23" t="n"/>
      <c r="I24" s="23" t="n"/>
      <c r="J24" s="23" t="n"/>
    </row>
    <row r="25" ht="26" customHeight="1">
      <c r="A25" s="35" t="inlineStr">
        <is>
          <t>L21</t>
        </is>
      </c>
      <c r="B25" s="23" t="n"/>
      <c r="C25" s="23" t="n"/>
      <c r="D25" s="23" t="n"/>
      <c r="E25" s="23" t="n"/>
      <c r="F25" s="23" t="n"/>
      <c r="G25" s="23" t="n"/>
      <c r="H25" s="23" t="n"/>
      <c r="I25" s="23" t="n"/>
      <c r="J25" s="23" t="n"/>
    </row>
    <row r="26" ht="26" customHeight="1">
      <c r="A26" s="35" t="inlineStr">
        <is>
          <t>L22</t>
        </is>
      </c>
      <c r="B26" s="23" t="n"/>
      <c r="C26" s="23" t="n"/>
      <c r="D26" s="23" t="n"/>
      <c r="E26" s="23" t="n"/>
      <c r="F26" s="23" t="n"/>
      <c r="G26" s="23" t="n"/>
      <c r="H26" s="23" t="n"/>
      <c r="I26" s="23" t="n"/>
      <c r="J26" s="23" t="n"/>
    </row>
    <row r="27" ht="26" customHeight="1">
      <c r="A27" s="35" t="inlineStr">
        <is>
          <t>L23</t>
        </is>
      </c>
      <c r="B27" s="23" t="n"/>
      <c r="C27" s="23" t="n"/>
      <c r="D27" s="23" t="n"/>
      <c r="E27" s="23" t="n"/>
      <c r="F27" s="23" t="n"/>
      <c r="G27" s="23" t="n"/>
      <c r="H27" s="23" t="n"/>
      <c r="I27" s="23" t="n"/>
      <c r="J27" s="23" t="n"/>
    </row>
    <row r="28" ht="26" customHeight="1">
      <c r="A28" s="35" t="inlineStr">
        <is>
          <t>L24</t>
        </is>
      </c>
      <c r="B28" s="23" t="n"/>
      <c r="C28" s="23" t="n"/>
      <c r="D28" s="23" t="n"/>
      <c r="E28" s="23" t="n"/>
      <c r="F28" s="23" t="n"/>
      <c r="G28" s="23" t="n"/>
      <c r="H28" s="23" t="n"/>
      <c r="I28" s="23" t="n"/>
      <c r="J28" s="23" t="n"/>
    </row>
    <row r="29" ht="26" customHeight="1">
      <c r="A29" s="35" t="inlineStr">
        <is>
          <t>L25</t>
        </is>
      </c>
      <c r="B29" s="23" t="n"/>
      <c r="C29" s="23" t="n"/>
      <c r="D29" s="23" t="n"/>
      <c r="E29" s="23" t="n"/>
      <c r="F29" s="23" t="n"/>
      <c r="G29" s="23" t="n"/>
      <c r="H29" s="23" t="n"/>
      <c r="I29" s="23" t="n"/>
      <c r="J29" s="23" t="n"/>
    </row>
    <row r="30" ht="26" customHeight="1">
      <c r="A30" s="35" t="inlineStr">
        <is>
          <t>L26</t>
        </is>
      </c>
      <c r="B30" s="23" t="n"/>
      <c r="C30" s="23" t="n"/>
      <c r="D30" s="23" t="n"/>
      <c r="E30" s="23" t="n"/>
      <c r="F30" s="23" t="n"/>
      <c r="G30" s="23" t="n"/>
      <c r="H30" s="23" t="n"/>
      <c r="I30" s="23" t="n"/>
      <c r="J30" s="23" t="n"/>
    </row>
    <row r="31" ht="26" customHeight="1">
      <c r="A31" s="35" t="inlineStr">
        <is>
          <t>L27</t>
        </is>
      </c>
      <c r="B31" s="23" t="n"/>
      <c r="C31" s="23" t="n"/>
      <c r="D31" s="23" t="n"/>
      <c r="E31" s="23" t="n"/>
      <c r="F31" s="23" t="n"/>
      <c r="G31" s="23" t="n"/>
      <c r="H31" s="23" t="n"/>
      <c r="I31" s="23" t="n"/>
      <c r="J31" s="23" t="n"/>
    </row>
    <row r="32" ht="26" customHeight="1">
      <c r="A32" s="35" t="inlineStr">
        <is>
          <t>L28</t>
        </is>
      </c>
      <c r="B32" s="23" t="n"/>
      <c r="C32" s="23" t="n"/>
      <c r="D32" s="23" t="n"/>
      <c r="E32" s="23" t="n"/>
      <c r="F32" s="23" t="n"/>
      <c r="G32" s="23" t="n"/>
      <c r="H32" s="23" t="n"/>
      <c r="I32" s="23" t="n"/>
      <c r="J32" s="23" t="n"/>
    </row>
    <row r="33" ht="26" customHeight="1">
      <c r="A33" s="35" t="inlineStr">
        <is>
          <t>L29</t>
        </is>
      </c>
      <c r="B33" s="23" t="n"/>
      <c r="C33" s="23" t="n"/>
      <c r="D33" s="23" t="n"/>
      <c r="E33" s="23" t="n"/>
      <c r="F33" s="23" t="n"/>
      <c r="G33" s="23" t="n"/>
      <c r="H33" s="23" t="n"/>
      <c r="I33" s="23" t="n"/>
      <c r="J33" s="23" t="n"/>
    </row>
    <row r="34" ht="26" customHeight="1">
      <c r="A34" s="35" t="inlineStr">
        <is>
          <t>L30</t>
        </is>
      </c>
      <c r="B34" s="23" t="n"/>
      <c r="C34" s="23" t="n"/>
      <c r="D34" s="23" t="n"/>
      <c r="E34" s="23" t="n"/>
      <c r="F34" s="23" t="n"/>
      <c r="G34" s="23" t="n"/>
      <c r="H34" s="23" t="n"/>
      <c r="I34" s="23" t="n"/>
      <c r="J34" s="23" t="n"/>
    </row>
    <row r="35" ht="26" customHeight="1">
      <c r="A35" s="35" t="inlineStr">
        <is>
          <t>L31</t>
        </is>
      </c>
      <c r="B35" s="23" t="n"/>
      <c r="C35" s="23" t="n"/>
      <c r="D35" s="23" t="n"/>
      <c r="E35" s="23" t="n"/>
      <c r="F35" s="23" t="n"/>
      <c r="G35" s="23" t="n"/>
      <c r="H35" s="23" t="n"/>
      <c r="I35" s="23" t="n"/>
      <c r="J35" s="23" t="n"/>
    </row>
    <row r="36" ht="26" customHeight="1">
      <c r="A36" s="35" t="inlineStr">
        <is>
          <t>L32</t>
        </is>
      </c>
      <c r="B36" s="23" t="n"/>
      <c r="C36" s="23" t="n"/>
      <c r="D36" s="23" t="n"/>
      <c r="E36" s="23" t="n"/>
      <c r="F36" s="23" t="n"/>
      <c r="G36" s="23" t="n"/>
      <c r="H36" s="23" t="n"/>
      <c r="I36" s="23" t="n"/>
      <c r="J36" s="23" t="n"/>
    </row>
    <row r="37" ht="26" customHeight="1">
      <c r="A37" s="35" t="inlineStr">
        <is>
          <t>L33</t>
        </is>
      </c>
      <c r="B37" s="23" t="n"/>
      <c r="C37" s="23" t="n"/>
      <c r="D37" s="23" t="n"/>
      <c r="E37" s="23" t="n"/>
      <c r="F37" s="23" t="n"/>
      <c r="G37" s="23" t="n"/>
      <c r="H37" s="23" t="n"/>
      <c r="I37" s="23" t="n"/>
      <c r="J37" s="23" t="n"/>
    </row>
    <row r="38" ht="26" customHeight="1">
      <c r="A38" s="35" t="inlineStr">
        <is>
          <t>L34</t>
        </is>
      </c>
      <c r="B38" s="23" t="n"/>
      <c r="C38" s="23" t="n"/>
      <c r="D38" s="23" t="n"/>
      <c r="E38" s="23" t="n"/>
      <c r="F38" s="23" t="n"/>
      <c r="G38" s="23" t="n"/>
      <c r="H38" s="23" t="n"/>
      <c r="I38" s="23" t="n"/>
      <c r="J38" s="23" t="n"/>
    </row>
    <row r="39" ht="26" customHeight="1">
      <c r="A39" s="35" t="inlineStr">
        <is>
          <t>L35</t>
        </is>
      </c>
      <c r="B39" s="23" t="n"/>
      <c r="C39" s="23" t="n"/>
      <c r="D39" s="23" t="n"/>
      <c r="E39" s="23" t="n"/>
      <c r="F39" s="23" t="n"/>
      <c r="G39" s="23" t="n"/>
      <c r="H39" s="23" t="n"/>
      <c r="I39" s="23" t="n"/>
      <c r="J39" s="23" t="n"/>
    </row>
    <row r="40" ht="26" customHeight="1">
      <c r="A40" s="35" t="inlineStr">
        <is>
          <t>L36</t>
        </is>
      </c>
      <c r="B40" s="23" t="n"/>
      <c r="C40" s="23" t="n"/>
      <c r="D40" s="23" t="n"/>
      <c r="E40" s="23" t="n"/>
      <c r="F40" s="23" t="n"/>
      <c r="G40" s="23" t="n"/>
      <c r="H40" s="23" t="n"/>
      <c r="I40" s="23" t="n"/>
      <c r="J40" s="23" t="n"/>
    </row>
    <row r="41" ht="26" customHeight="1">
      <c r="A41" s="35" t="inlineStr">
        <is>
          <t>L37</t>
        </is>
      </c>
      <c r="B41" s="23" t="n"/>
      <c r="C41" s="23" t="n"/>
      <c r="D41" s="23" t="n"/>
      <c r="E41" s="23" t="n"/>
      <c r="F41" s="23" t="n"/>
      <c r="G41" s="23" t="n"/>
      <c r="H41" s="23" t="n"/>
      <c r="I41" s="23" t="n"/>
      <c r="J41" s="23" t="n"/>
    </row>
    <row r="42" ht="26" customHeight="1">
      <c r="A42" s="35" t="inlineStr">
        <is>
          <t>L38</t>
        </is>
      </c>
      <c r="B42" s="23" t="n"/>
      <c r="C42" s="23" t="n"/>
      <c r="D42" s="23" t="n"/>
      <c r="E42" s="23" t="n"/>
      <c r="F42" s="23" t="n"/>
      <c r="G42" s="23" t="n"/>
      <c r="H42" s="23" t="n"/>
      <c r="I42" s="23" t="n"/>
      <c r="J42" s="23" t="n"/>
    </row>
    <row r="43" ht="26" customHeight="1">
      <c r="A43" s="35" t="inlineStr">
        <is>
          <t>L39</t>
        </is>
      </c>
      <c r="B43" s="23" t="n"/>
      <c r="C43" s="23" t="n"/>
      <c r="D43" s="23" t="n"/>
      <c r="E43" s="23" t="n"/>
      <c r="F43" s="23" t="n"/>
      <c r="G43" s="23" t="n"/>
      <c r="H43" s="23" t="n"/>
      <c r="I43" s="23" t="n"/>
      <c r="J43" s="23" t="n"/>
    </row>
    <row r="44" ht="26" customHeight="1">
      <c r="A44" s="35" t="inlineStr">
        <is>
          <t>L40</t>
        </is>
      </c>
      <c r="B44" s="23" t="n"/>
      <c r="C44" s="23" t="n"/>
      <c r="D44" s="23" t="n"/>
      <c r="E44" s="23" t="n"/>
      <c r="F44" s="23" t="n"/>
      <c r="G44" s="23" t="n"/>
      <c r="H44" s="23" t="n"/>
      <c r="I44" s="23" t="n"/>
      <c r="J44" s="23" t="n"/>
    </row>
  </sheetData>
  <mergeCells count="2">
    <mergeCell ref="A1:J1"/>
    <mergeCell ref="A2:J2"/>
  </mergeCells>
  <dataValidations count="2">
    <dataValidation sqref="F5:F44" showDropDown="0" showInputMessage="0" showErrorMessage="0" allowBlank="1" type="list">
      <formula1>DS!$D$2:$D$4</formula1>
    </dataValidation>
    <dataValidation sqref="H5:H44" showDropDown="0" showInputMessage="0" showErrorMessage="0" allowBlank="1" type="list">
      <formula1>DS!$E$2:$E$6</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7"/>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3" customWidth="1" min="7" max="7"/>
    <col width="13" customWidth="1" min="8" max="8"/>
  </cols>
  <sheetData>
    <row r="1" ht="30" customHeight="1">
      <c r="A1" s="1" t="inlineStr">
        <is>
          <t>TỔNG HỢP — tự tính từ ba sheet người thử</t>
        </is>
      </c>
    </row>
    <row r="2" ht="20" customHeight="1">
      <c r="A2" s="2" t="inlineStr">
        <is>
          <t>Không phải điền gì ở đây. Số tự cập nhật khi ba người điền phiếu.</t>
        </is>
      </c>
    </row>
    <row r="4" ht="22" customHeight="1">
      <c r="A4" s="3" t="inlineStr">
        <is>
          <t>VÒNG THỬ 1</t>
        </is>
      </c>
    </row>
    <row r="5" ht="30" customHeight="1">
      <c r="A5" s="30" t="inlineStr">
        <is>
          <t>Người thử</t>
        </is>
      </c>
      <c r="B5" s="30" t="inlineStr">
        <is>
          <t>Đúng như mô tả</t>
        </is>
      </c>
      <c r="C5" s="30" t="inlineStr">
        <is>
          <t>Gần đúng, khác một chút</t>
        </is>
      </c>
      <c r="D5" s="30" t="inlineStr">
        <is>
          <t>Khác hẳn mô tả</t>
        </is>
      </c>
      <c r="E5" s="30" t="inlineStr">
        <is>
          <t>Không làm được / bị kẹt</t>
        </is>
      </c>
      <c r="F5" s="30" t="inlineStr">
        <is>
          <t>Chưa thử</t>
        </is>
      </c>
      <c r="G5" s="30" t="inlineStr">
        <is>
          <t>Điểm TB</t>
        </is>
      </c>
      <c r="H5" s="30" t="inlineStr">
        <is>
          <t>Số chặng ⚠</t>
        </is>
      </c>
    </row>
    <row r="6">
      <c r="A6" s="36" t="inlineStr">
        <is>
          <t>N1 · Giáo viên</t>
        </is>
      </c>
      <c r="B6" s="25">
        <f>COUNTIF('N1 · Giáo viên'!$D$11:$D$43,DS!$A$2)</f>
        <v/>
      </c>
      <c r="C6" s="25">
        <f>COUNTIF('N1 · Giáo viên'!$D$11:$D$43,DS!$A$3)</f>
        <v/>
      </c>
      <c r="D6" s="25">
        <f>COUNTIF('N1 · Giáo viên'!$D$11:$D$43,DS!$A$4)</f>
        <v/>
      </c>
      <c r="E6" s="25">
        <f>COUNTIF('N1 · Giáo viên'!$D$11:$D$43,DS!$A$5)</f>
        <v/>
      </c>
      <c r="F6" s="25">
        <f>COUNTIF('N1 · Giáo viên'!$D$11:$D$43,DS!$A$6)</f>
        <v/>
      </c>
      <c r="G6" s="25">
        <f>IFERROR(ROUND(AVERAGE('N1 · Giáo viên'!$E$11:$E$43),1),"—")</f>
        <v/>
      </c>
      <c r="H6" s="25">
        <f>COUNTIF('N1 · Giáo viên'!$O$11:$O$43,"⚠")</f>
        <v/>
      </c>
    </row>
    <row r="7">
      <c r="A7" s="36" t="inlineStr">
        <is>
          <t>N2 · Ban giám hiệu</t>
        </is>
      </c>
      <c r="B7" s="25">
        <f>COUNTIF('N2 · Ban giám hiệu'!$D$11:$D$37,DS!$A$2)</f>
        <v/>
      </c>
      <c r="C7" s="25">
        <f>COUNTIF('N2 · Ban giám hiệu'!$D$11:$D$37,DS!$A$3)</f>
        <v/>
      </c>
      <c r="D7" s="25">
        <f>COUNTIF('N2 · Ban giám hiệu'!$D$11:$D$37,DS!$A$4)</f>
        <v/>
      </c>
      <c r="E7" s="25">
        <f>COUNTIF('N2 · Ban giám hiệu'!$D$11:$D$37,DS!$A$5)</f>
        <v/>
      </c>
      <c r="F7" s="25">
        <f>COUNTIF('N2 · Ban giám hiệu'!$D$11:$D$37,DS!$A$6)</f>
        <v/>
      </c>
      <c r="G7" s="25">
        <f>IFERROR(ROUND(AVERAGE('N2 · Ban giám hiệu'!$E$11:$E$37),1),"—")</f>
        <v/>
      </c>
      <c r="H7" s="25">
        <f>COUNTIF('N2 · Ban giám hiệu'!$O$11:$O$37,"⚠")</f>
        <v/>
      </c>
    </row>
    <row r="8">
      <c r="A8" s="36" t="inlineStr">
        <is>
          <t>N3 · Quản trị viên</t>
        </is>
      </c>
      <c r="B8" s="25">
        <f>COUNTIF('N3 · Quản trị viên'!$D$11:$D$36,DS!$A$2)</f>
        <v/>
      </c>
      <c r="C8" s="25">
        <f>COUNTIF('N3 · Quản trị viên'!$D$11:$D$36,DS!$A$3)</f>
        <v/>
      </c>
      <c r="D8" s="25">
        <f>COUNTIF('N3 · Quản trị viên'!$D$11:$D$36,DS!$A$4)</f>
        <v/>
      </c>
      <c r="E8" s="25">
        <f>COUNTIF('N3 · Quản trị viên'!$D$11:$D$36,DS!$A$5)</f>
        <v/>
      </c>
      <c r="F8" s="25">
        <f>COUNTIF('N3 · Quản trị viên'!$D$11:$D$36,DS!$A$6)</f>
        <v/>
      </c>
      <c r="G8" s="25">
        <f>IFERROR(ROUND(AVERAGE('N3 · Quản trị viên'!$E$11:$E$36),1),"—")</f>
        <v/>
      </c>
      <c r="H8" s="25">
        <f>COUNTIF('N3 · Quản trị viên'!$O$11:$O$36,"⚠")</f>
        <v/>
      </c>
    </row>
    <row r="10" ht="22" customHeight="1">
      <c r="A10" s="3" t="inlineStr">
        <is>
          <t>VÒNG THỬ 2</t>
        </is>
      </c>
    </row>
    <row r="11" ht="30" customHeight="1">
      <c r="A11" s="30" t="inlineStr">
        <is>
          <t>Người thử</t>
        </is>
      </c>
      <c r="B11" s="30" t="inlineStr">
        <is>
          <t>Đúng như mô tả</t>
        </is>
      </c>
      <c r="C11" s="30" t="inlineStr">
        <is>
          <t>Gần đúng, khác một chút</t>
        </is>
      </c>
      <c r="D11" s="30" t="inlineStr">
        <is>
          <t>Khác hẳn mô tả</t>
        </is>
      </c>
      <c r="E11" s="30" t="inlineStr">
        <is>
          <t>Không làm được / bị kẹt</t>
        </is>
      </c>
      <c r="F11" s="30" t="inlineStr">
        <is>
          <t>Chưa thử</t>
        </is>
      </c>
      <c r="G11" s="30" t="inlineStr">
        <is>
          <t>Điểm TB</t>
        </is>
      </c>
      <c r="H11" s="30" t="inlineStr">
        <is>
          <t>Số chặng ⚠</t>
        </is>
      </c>
    </row>
    <row r="12">
      <c r="A12" s="36" t="inlineStr">
        <is>
          <t>N1 · Giáo viên</t>
        </is>
      </c>
      <c r="B12" s="25">
        <f>COUNTIF('N1 · Giáo viên'!$H$11:$H$43,DS!$A$2)</f>
        <v/>
      </c>
      <c r="C12" s="25">
        <f>COUNTIF('N1 · Giáo viên'!$H$11:$H$43,DS!$A$3)</f>
        <v/>
      </c>
      <c r="D12" s="25">
        <f>COUNTIF('N1 · Giáo viên'!$H$11:$H$43,DS!$A$4)</f>
        <v/>
      </c>
      <c r="E12" s="25">
        <f>COUNTIF('N1 · Giáo viên'!$H$11:$H$43,DS!$A$5)</f>
        <v/>
      </c>
      <c r="F12" s="25">
        <f>COUNTIF('N1 · Giáo viên'!$H$11:$H$43,DS!$A$6)</f>
        <v/>
      </c>
      <c r="G12" s="25">
        <f>IFERROR(ROUND(AVERAGE('N1 · Giáo viên'!$I$11:$I$43),1),"—")</f>
        <v/>
      </c>
      <c r="H12" s="25">
        <f>COUNTIF('N1 · Giáo viên'!$O$11:$O$43,"⚠")</f>
        <v/>
      </c>
    </row>
    <row r="13">
      <c r="A13" s="36" t="inlineStr">
        <is>
          <t>N2 · Ban giám hiệu</t>
        </is>
      </c>
      <c r="B13" s="25">
        <f>COUNTIF('N2 · Ban giám hiệu'!$H$11:$H$37,DS!$A$2)</f>
        <v/>
      </c>
      <c r="C13" s="25">
        <f>COUNTIF('N2 · Ban giám hiệu'!$H$11:$H$37,DS!$A$3)</f>
        <v/>
      </c>
      <c r="D13" s="25">
        <f>COUNTIF('N2 · Ban giám hiệu'!$H$11:$H$37,DS!$A$4)</f>
        <v/>
      </c>
      <c r="E13" s="25">
        <f>COUNTIF('N2 · Ban giám hiệu'!$H$11:$H$37,DS!$A$5)</f>
        <v/>
      </c>
      <c r="F13" s="25">
        <f>COUNTIF('N2 · Ban giám hiệu'!$H$11:$H$37,DS!$A$6)</f>
        <v/>
      </c>
      <c r="G13" s="25">
        <f>IFERROR(ROUND(AVERAGE('N2 · Ban giám hiệu'!$I$11:$I$37),1),"—")</f>
        <v/>
      </c>
      <c r="H13" s="25">
        <f>COUNTIF('N2 · Ban giám hiệu'!$O$11:$O$37,"⚠")</f>
        <v/>
      </c>
    </row>
    <row r="14">
      <c r="A14" s="36" t="inlineStr">
        <is>
          <t>N3 · Quản trị viên</t>
        </is>
      </c>
      <c r="B14" s="25">
        <f>COUNTIF('N3 · Quản trị viên'!$H$11:$H$36,DS!$A$2)</f>
        <v/>
      </c>
      <c r="C14" s="25">
        <f>COUNTIF('N3 · Quản trị viên'!$H$11:$H$36,DS!$A$3)</f>
        <v/>
      </c>
      <c r="D14" s="25">
        <f>COUNTIF('N3 · Quản trị viên'!$H$11:$H$36,DS!$A$4)</f>
        <v/>
      </c>
      <c r="E14" s="25">
        <f>COUNTIF('N3 · Quản trị viên'!$H$11:$H$36,DS!$A$5)</f>
        <v/>
      </c>
      <c r="F14" s="25">
        <f>COUNTIF('N3 · Quản trị viên'!$H$11:$H$36,DS!$A$6)</f>
        <v/>
      </c>
      <c r="G14" s="25">
        <f>IFERROR(ROUND(AVERAGE('N3 · Quản trị viên'!$I$11:$I$36),1),"—")</f>
        <v/>
      </c>
      <c r="H14" s="25">
        <f>COUNTIF('N3 · Quản trị viên'!$O$11:$O$36,"⚠")</f>
        <v/>
      </c>
    </row>
    <row r="16" ht="22" customHeight="1">
      <c r="A16" s="3" t="inlineStr">
        <is>
          <t>VÒNG THỬ 3</t>
        </is>
      </c>
    </row>
    <row r="17" ht="30" customHeight="1">
      <c r="A17" s="30" t="inlineStr">
        <is>
          <t>Người thử</t>
        </is>
      </c>
      <c r="B17" s="30" t="inlineStr">
        <is>
          <t>Đúng như mô tả</t>
        </is>
      </c>
      <c r="C17" s="30" t="inlineStr">
        <is>
          <t>Gần đúng, khác một chút</t>
        </is>
      </c>
      <c r="D17" s="30" t="inlineStr">
        <is>
          <t>Khác hẳn mô tả</t>
        </is>
      </c>
      <c r="E17" s="30" t="inlineStr">
        <is>
          <t>Không làm được / bị kẹt</t>
        </is>
      </c>
      <c r="F17" s="30" t="inlineStr">
        <is>
          <t>Chưa thử</t>
        </is>
      </c>
      <c r="G17" s="30" t="inlineStr">
        <is>
          <t>Điểm TB</t>
        </is>
      </c>
      <c r="H17" s="30" t="inlineStr">
        <is>
          <t>Số chặng ⚠</t>
        </is>
      </c>
    </row>
    <row r="18">
      <c r="A18" s="36" t="inlineStr">
        <is>
          <t>N1 · Giáo viên</t>
        </is>
      </c>
      <c r="B18" s="25">
        <f>COUNTIF('N1 · Giáo viên'!$L$11:$L$43,DS!$A$2)</f>
        <v/>
      </c>
      <c r="C18" s="25">
        <f>COUNTIF('N1 · Giáo viên'!$L$11:$L$43,DS!$A$3)</f>
        <v/>
      </c>
      <c r="D18" s="25">
        <f>COUNTIF('N1 · Giáo viên'!$L$11:$L$43,DS!$A$4)</f>
        <v/>
      </c>
      <c r="E18" s="25">
        <f>COUNTIF('N1 · Giáo viên'!$L$11:$L$43,DS!$A$5)</f>
        <v/>
      </c>
      <c r="F18" s="25">
        <f>COUNTIF('N1 · Giáo viên'!$L$11:$L$43,DS!$A$6)</f>
        <v/>
      </c>
      <c r="G18" s="25">
        <f>IFERROR(ROUND(AVERAGE('N1 · Giáo viên'!$M$11:$M$43),1),"—")</f>
        <v/>
      </c>
      <c r="H18" s="25">
        <f>COUNTIF('N1 · Giáo viên'!$O$11:$O$43,"⚠")</f>
        <v/>
      </c>
    </row>
    <row r="19">
      <c r="A19" s="36" t="inlineStr">
        <is>
          <t>N2 · Ban giám hiệu</t>
        </is>
      </c>
      <c r="B19" s="25">
        <f>COUNTIF('N2 · Ban giám hiệu'!$L$11:$L$37,DS!$A$2)</f>
        <v/>
      </c>
      <c r="C19" s="25">
        <f>COUNTIF('N2 · Ban giám hiệu'!$L$11:$L$37,DS!$A$3)</f>
        <v/>
      </c>
      <c r="D19" s="25">
        <f>COUNTIF('N2 · Ban giám hiệu'!$L$11:$L$37,DS!$A$4)</f>
        <v/>
      </c>
      <c r="E19" s="25">
        <f>COUNTIF('N2 · Ban giám hiệu'!$L$11:$L$37,DS!$A$5)</f>
        <v/>
      </c>
      <c r="F19" s="25">
        <f>COUNTIF('N2 · Ban giám hiệu'!$L$11:$L$37,DS!$A$6)</f>
        <v/>
      </c>
      <c r="G19" s="25">
        <f>IFERROR(ROUND(AVERAGE('N2 · Ban giám hiệu'!$M$11:$M$37),1),"—")</f>
        <v/>
      </c>
      <c r="H19" s="25">
        <f>COUNTIF('N2 · Ban giám hiệu'!$O$11:$O$37,"⚠")</f>
        <v/>
      </c>
    </row>
    <row r="20">
      <c r="A20" s="36" t="inlineStr">
        <is>
          <t>N3 · Quản trị viên</t>
        </is>
      </c>
      <c r="B20" s="25">
        <f>COUNTIF('N3 · Quản trị viên'!$L$11:$L$36,DS!$A$2)</f>
        <v/>
      </c>
      <c r="C20" s="25">
        <f>COUNTIF('N3 · Quản trị viên'!$L$11:$L$36,DS!$A$3)</f>
        <v/>
      </c>
      <c r="D20" s="25">
        <f>COUNTIF('N3 · Quản trị viên'!$L$11:$L$36,DS!$A$4)</f>
        <v/>
      </c>
      <c r="E20" s="25">
        <f>COUNTIF('N3 · Quản trị viên'!$L$11:$L$36,DS!$A$5)</f>
        <v/>
      </c>
      <c r="F20" s="25">
        <f>COUNTIF('N3 · Quản trị viên'!$L$11:$L$36,DS!$A$6)</f>
        <v/>
      </c>
      <c r="G20" s="25">
        <f>IFERROR(ROUND(AVERAGE('N3 · Quản trị viên'!$M$11:$M$36),1),"—")</f>
        <v/>
      </c>
      <c r="H20" s="25">
        <f>COUNTIF('N3 · Quản trị viên'!$O$11:$O$36,"⚠")</f>
        <v/>
      </c>
    </row>
    <row r="22" ht="22" customHeight="1">
      <c r="A22" s="3" t="inlineStr">
        <is>
          <t>KỊCH BẢN PHỐI HỢP</t>
        </is>
      </c>
    </row>
    <row r="23">
      <c r="A23" s="37" t="inlineStr">
        <is>
          <t>Đúng như mô tả</t>
        </is>
      </c>
      <c r="B23" s="38">
        <f>COUNTIF('PHỐI HỢP'!$I$5:$I$12,DS!$A$2)</f>
        <v/>
      </c>
    </row>
    <row r="24">
      <c r="A24" s="37" t="inlineStr">
        <is>
          <t>Gần đúng, khác một chút</t>
        </is>
      </c>
      <c r="B24" s="38">
        <f>COUNTIF('PHỐI HỢP'!$I$5:$I$12,DS!$A$3)</f>
        <v/>
      </c>
    </row>
    <row r="25">
      <c r="A25" s="37" t="inlineStr">
        <is>
          <t>Khác hẳn mô tả</t>
        </is>
      </c>
      <c r="B25" s="38">
        <f>COUNTIF('PHỐI HỢP'!$I$5:$I$12,DS!$A$4)</f>
        <v/>
      </c>
    </row>
    <row r="26">
      <c r="A26" s="37" t="inlineStr">
        <is>
          <t>Không làm được / bị kẹt</t>
        </is>
      </c>
      <c r="B26" s="38">
        <f>COUNTIF('PHỐI HỢP'!$I$5:$I$12,DS!$A$5)</f>
        <v/>
      </c>
    </row>
    <row r="27">
      <c r="A27" s="37" t="inlineStr">
        <is>
          <t>Chưa thử</t>
        </is>
      </c>
      <c r="B27" s="38">
        <f>COUNTIF('PHỐI HỢP'!$I$5:$I$12,DS!$A$6)</f>
        <v/>
      </c>
    </row>
    <row r="29" ht="22" customHeight="1">
      <c r="A29" s="3" t="inlineStr">
        <is>
          <t>SỔ LỖI</t>
        </is>
      </c>
    </row>
    <row r="30">
      <c r="A30" s="37" t="inlineStr">
        <is>
          <t>Mới ghi nhận</t>
        </is>
      </c>
      <c r="B30" s="38">
        <f>COUNTIF('SỔ LỖI'!$H$5:$H$44,DS!$E$2)</f>
        <v/>
      </c>
    </row>
    <row r="31">
      <c r="A31" s="37" t="inlineStr">
        <is>
          <t>Đang sửa</t>
        </is>
      </c>
      <c r="B31" s="38">
        <f>COUNTIF('SỔ LỖI'!$H$5:$H$44,DS!$E$3)</f>
        <v/>
      </c>
    </row>
    <row r="32">
      <c r="A32" s="37" t="inlineStr">
        <is>
          <t>Đã sửa — chờ kiểm lại</t>
        </is>
      </c>
      <c r="B32" s="38">
        <f>COUNTIF('SỔ LỖI'!$H$5:$H$44,DS!$E$4)</f>
        <v/>
      </c>
    </row>
    <row r="33">
      <c r="A33" s="37" t="inlineStr">
        <is>
          <t>Đã kiểm lại — xong</t>
        </is>
      </c>
      <c r="B33" s="38">
        <f>COUNTIF('SỔ LỖI'!$H$5:$H$44,DS!$E$5)</f>
        <v/>
      </c>
    </row>
    <row r="34">
      <c r="A34" s="37" t="inlineStr">
        <is>
          <t>Không sửa (có lý do)</t>
        </is>
      </c>
      <c r="B34" s="38">
        <f>COUNTIF('SỔ LỖI'!$H$5:$H$44,DS!$E$6)</f>
        <v/>
      </c>
    </row>
    <row r="35">
      <c r="A35" s="39" t="inlineStr">
        <is>
          <t>Tổng số lỗi đã ghi</t>
        </is>
      </c>
      <c r="B35" s="40">
        <f>COUNTA('SỔ LỖI'!$E$5:$E$44)</f>
        <v/>
      </c>
    </row>
    <row r="37" ht="32" customHeight="1">
      <c r="A37" s="41" t="inlineStr">
        <is>
          <t>CÁCH TÌM CHẶNG CÓ VẤN ĐỀ: mở sheet của từng người, bấm lọc ở cột ⚠ (cột cuối cùng) và chọn hiện những dòng có dấu ⚠. Đó là các chặng có người báo app khác mô tả hoặc bị kẹt.</t>
        </is>
      </c>
    </row>
  </sheetData>
  <mergeCells count="8">
    <mergeCell ref="A4:H4"/>
    <mergeCell ref="A29:H29"/>
    <mergeCell ref="A16:H16"/>
    <mergeCell ref="A2:H2"/>
    <mergeCell ref="A10:H10"/>
    <mergeCell ref="A1:H1"/>
    <mergeCell ref="A37:H37"/>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2026-07-27T18:23:45Z</dcterms:created>
  <dcterms:modified xmlns:dcterms="http://purl.org/dc/terms/" xmlns:xsi="http://www.w3.org/2001/XMLSchema-instance" xsi:type="dcterms:W3CDTF">2026-07-27T18:23:45Z</dcterms:modified>
</cp:coreProperties>
</file>